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2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mariam/Desktop/CIDM 6390 Enterprise Proj Mgt/Assignment/"/>
    </mc:Choice>
  </mc:AlternateContent>
  <xr:revisionPtr revIDLastSave="0" documentId="13_ncr:1_{B9F04437-B814-6241-A889-EE818802E8EA}" xr6:coauthVersionLast="47" xr6:coauthVersionMax="47" xr10:uidLastSave="{00000000-0000-0000-0000-000000000000}"/>
  <bookViews>
    <workbookView xWindow="0" yWindow="720" windowWidth="29400" windowHeight="18400" tabRatio="500" xr2:uid="{00000000-000D-0000-FFFF-FFFF00000000}"/>
  </bookViews>
  <sheets>
    <sheet name="Matrix" sheetId="1" r:id="rId1"/>
    <sheet name="Planilha1" sheetId="3" r:id="rId2"/>
    <sheet name="Listas" sheetId="2" state="hidden" r:id="rId3"/>
  </sheets>
  <definedNames>
    <definedName name="_xlnm._FilterDatabase" localSheetId="0" hidden="1">Matrix!$B$32:$R$32</definedName>
    <definedName name="_xlnm.Print_Area" localSheetId="0">Matrix!$A$1:$R$82</definedName>
    <definedName name="_xlnm.Print_Titles" localSheetId="0">Matrix!$30:$32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25" i="1" l="1"/>
  <c r="Q24" i="1"/>
  <c r="Q23" i="1"/>
  <c r="Q22" i="1"/>
  <c r="Q21" i="1"/>
  <c r="S29" i="1"/>
  <c r="N29" i="1" s="1"/>
  <c r="R29" i="1" s="1"/>
  <c r="N43" i="1"/>
  <c r="N44" i="1"/>
  <c r="N45" i="1"/>
  <c r="N46" i="1"/>
  <c r="N47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</calcChain>
</file>

<file path=xl/sharedStrings.xml><?xml version="1.0" encoding="utf-8"?>
<sst xmlns="http://schemas.openxmlformats.org/spreadsheetml/2006/main" count="55" uniqueCount="44">
  <si>
    <t>Níveis de poder e interesse</t>
  </si>
  <si>
    <t>Níveis de engajamento</t>
  </si>
  <si>
    <t>↑</t>
  </si>
  <si>
    <t>→</t>
  </si>
  <si>
    <t>PROJECT NAME</t>
  </si>
  <si>
    <t>STAKEHOLDERS ANALYSIS</t>
  </si>
  <si>
    <t>STAKEHOLDERS ANALYSIS - POWER X INTEREST MATRIX</t>
  </si>
  <si>
    <t>TOTAL STAKEHOLDERS:</t>
  </si>
  <si>
    <t>COMMUNICATIONS CHANNELS:</t>
  </si>
  <si>
    <t>INTEREST</t>
  </si>
  <si>
    <t>Stakeholder</t>
  </si>
  <si>
    <t>INFLUENCE/ POWER</t>
  </si>
  <si>
    <t>HIGH</t>
  </si>
  <si>
    <t>LOW</t>
  </si>
  <si>
    <t>Power</t>
  </si>
  <si>
    <t>Interest</t>
  </si>
  <si>
    <t>Expectations</t>
  </si>
  <si>
    <t>Engagement</t>
  </si>
  <si>
    <t>Meet their needs</t>
  </si>
  <si>
    <t>Key player</t>
  </si>
  <si>
    <t>Least important</t>
  </si>
  <si>
    <t>Show consideration</t>
  </si>
  <si>
    <t>Neutral</t>
  </si>
  <si>
    <t>Unaware</t>
  </si>
  <si>
    <t>Unaware–of project and potential impacts</t>
  </si>
  <si>
    <t>Resistant–aware of project and potential impacts and resistant to change</t>
  </si>
  <si>
    <t>Resistant</t>
  </si>
  <si>
    <t>Neither supportive nor resistant</t>
  </si>
  <si>
    <t>Supportive</t>
  </si>
  <si>
    <t>Leading–aware</t>
  </si>
  <si>
    <t>Leading–aware of project and potential impacts and actively engaged in ensuring the project a success</t>
  </si>
  <si>
    <t>Supportive of project and potential impacts and supportive to change</t>
  </si>
  <si>
    <t>ENGAGEMENT TYPES:</t>
  </si>
  <si>
    <t>Stakeholder analysis in project management, and business administration, is the process of identifying the individuals or groups that are likely to affect or be affected by a proposed action, and sorting them according to their impact on the action and the impact the action will have on them.</t>
  </si>
  <si>
    <t>Mixed actions</t>
  </si>
  <si>
    <t>Project sposor (CEO)</t>
  </si>
  <si>
    <t>Project Manager</t>
  </si>
  <si>
    <t>Business Analyst</t>
  </si>
  <si>
    <t>QA Engineer</t>
  </si>
  <si>
    <t>Cybersecurity Specialist</t>
  </si>
  <si>
    <t>Technical Writer/Trainer</t>
  </si>
  <si>
    <t>Internal End Users</t>
  </si>
  <si>
    <t>External Customers</t>
  </si>
  <si>
    <t>Full stack Dev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</si>
</sst>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>
    <font>
      <sz val="12"/>
      <color theme="1"/>
      <name val="Fonte do Corpo"/>
      <family val="2"/>
    </font>
    <font>
      <sz val="11"/>
      <color theme="1"/>
      <name val="Calibri"/>
      <family val="2"/>
      <scheme val="minor"/>
    </font>
    <font>
      <sz val="12"/>
      <name val="Fonte do Corpo"/>
      <family val="2"/>
    </font>
    <font>
      <sz val="8"/>
      <name val="Fonte do Corpo"/>
      <family val="2"/>
    </font>
    <font>
      <b/>
      <sz val="12"/>
      <color theme="1"/>
      <name val="Fonte do Corpo"/>
      <family val="2"/>
    </font>
    <font>
      <sz val="12"/>
      <color theme="0"/>
      <name val="Fonte do Corpo"/>
      <family val="2"/>
    </font>
    <font>
      <u/>
      <sz val="12"/>
      <color theme="10"/>
      <name val="Fonte do Corpo"/>
      <family val="2"/>
    </font>
    <font>
      <sz val="9"/>
      <color theme="0" tint="-0.249977111117893"/>
      <name val="Fonte do Corpo"/>
      <family val="2"/>
    </font>
    <font>
      <b/>
      <sz val="20"/>
      <color theme="1" tint="0.499984740745262"/>
      <name val="Fonte do Corpo"/>
      <family val="2"/>
    </font>
    <font>
      <sz val="9"/>
      <color theme="0" tint="-0.14999847407452621"/>
      <name val="Fonte do Corpo"/>
      <family val="2"/>
    </font>
    <font>
      <sz val="10"/>
      <color theme="0" tint="-0.499984740745262"/>
      <name val="Fonte do Corpo"/>
      <family val="2"/>
    </font>
    <font>
      <sz val="11"/>
      <color theme="1"/>
      <name val="Fonte do Corpo"/>
      <family val="2"/>
    </font>
    <font>
      <b/>
      <sz val="12"/>
      <color theme="1" tint="0.249977111117893"/>
      <name val="Fonte do Corpo"/>
      <family val="2"/>
    </font>
    <font>
      <u/>
      <sz val="11"/>
      <color theme="1"/>
      <name val="Fonte do Corpo"/>
      <family val="2"/>
    </font>
    <font>
      <b/>
      <sz val="10"/>
      <color theme="1"/>
      <name val="Fonte do Corpo"/>
    </font>
    <font>
      <b/>
      <sz val="10"/>
      <color theme="1"/>
      <name val="Fonte do Corpo"/>
      <family val="2"/>
    </font>
    <font>
      <b/>
      <sz val="12"/>
      <color theme="1"/>
      <name val="Fonte do Corpo"/>
    </font>
    <font>
      <b/>
      <sz val="14"/>
      <color theme="0"/>
      <name val="Calibri"/>
      <family val="2"/>
      <scheme val="minor"/>
    </font>
    <font>
      <b/>
      <sz val="36"/>
      <color theme="1" tint="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C45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9">
    <xf numFmtId="0" fontId="0" fillId="0" borderId="0" xfId="0"/>
    <xf numFmtId="0" fontId="2" fillId="2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0" xfId="0" applyFill="1" applyAlignment="1">
      <alignment horizontal="center"/>
    </xf>
    <xf numFmtId="0" fontId="4" fillId="2" borderId="0" xfId="0" applyFont="1" applyFill="1"/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9" borderId="0" xfId="0" applyFill="1"/>
    <xf numFmtId="0" fontId="0" fillId="9" borderId="0" xfId="0" applyFill="1" applyAlignment="1">
      <alignment horizontal="left" vertical="center"/>
    </xf>
    <xf numFmtId="0" fontId="0" fillId="9" borderId="0" xfId="0" applyFill="1" applyAlignment="1">
      <alignment horizontal="center" vertical="center"/>
    </xf>
    <xf numFmtId="1" fontId="0" fillId="0" borderId="0" xfId="0" applyNumberFormat="1"/>
    <xf numFmtId="1" fontId="0" fillId="0" borderId="0" xfId="0" applyNumberFormat="1" applyAlignment="1">
      <alignment horizontal="right"/>
    </xf>
    <xf numFmtId="1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1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top"/>
    </xf>
    <xf numFmtId="1" fontId="0" fillId="9" borderId="0" xfId="0" applyNumberFormat="1" applyFill="1" applyAlignment="1">
      <alignment horizontal="center" vertical="center"/>
    </xf>
    <xf numFmtId="1" fontId="9" fillId="2" borderId="0" xfId="0" applyNumberFormat="1" applyFont="1" applyFill="1" applyAlignment="1">
      <alignment horizontal="center" vertical="top"/>
    </xf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vertical="top"/>
    </xf>
    <xf numFmtId="0" fontId="10" fillId="2" borderId="0" xfId="0" applyFont="1" applyFill="1" applyAlignment="1">
      <alignment horizontal="right" vertical="top"/>
    </xf>
    <xf numFmtId="164" fontId="2" fillId="2" borderId="0" xfId="0" applyNumberFormat="1" applyFont="1" applyFill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5" fillId="7" borderId="0" xfId="0" applyNumberFormat="1" applyFont="1" applyFill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1" fillId="2" borderId="0" xfId="0" applyFont="1" applyFill="1" applyAlignment="1">
      <alignment horizontal="left" vertical="center"/>
    </xf>
    <xf numFmtId="164" fontId="11" fillId="8" borderId="0" xfId="0" applyNumberFormat="1" applyFont="1" applyFill="1" applyAlignment="1">
      <alignment horizontal="center" vertical="center"/>
    </xf>
    <xf numFmtId="0" fontId="16" fillId="0" borderId="3" xfId="0" applyFont="1" applyBorder="1"/>
    <xf numFmtId="0" fontId="1" fillId="2" borderId="0" xfId="0" applyFont="1" applyFill="1"/>
    <xf numFmtId="0" fontId="14" fillId="2" borderId="1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/>
    </xf>
    <xf numFmtId="0" fontId="11" fillId="2" borderId="0" xfId="0" applyFont="1" applyFill="1" applyAlignment="1">
      <alignment horizontal="left"/>
    </xf>
    <xf numFmtId="0" fontId="8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6" fillId="2" borderId="0" xfId="1" applyFill="1" applyBorder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2" borderId="0" xfId="1" applyFill="1" applyBorder="1" applyAlignment="1">
      <alignment horizontal="left"/>
    </xf>
    <xf numFmtId="0" fontId="11" fillId="2" borderId="1" xfId="0" applyFont="1" applyFill="1" applyBorder="1" applyAlignment="1">
      <alignment horizontal="left" vertical="top"/>
    </xf>
    <xf numFmtId="0" fontId="13" fillId="2" borderId="0" xfId="0" applyFont="1" applyFill="1" applyAlignment="1">
      <alignment horizontal="left"/>
    </xf>
    <xf numFmtId="0" fontId="11" fillId="2" borderId="0" xfId="0" applyFont="1" applyFill="1" applyAlignment="1">
      <alignment horizontal="left" vertical="center" indent="1"/>
    </xf>
    <xf numFmtId="0" fontId="1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top" wrapText="1"/>
    </xf>
    <xf numFmtId="0" fontId="12" fillId="2" borderId="3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right" vertical="center"/>
    </xf>
    <xf numFmtId="0" fontId="4" fillId="2" borderId="2" xfId="0" applyFont="1" applyFill="1" applyBorder="1" applyAlignment="1">
      <alignment horizontal="left" vertical="center" indent="1"/>
    </xf>
    <xf numFmtId="0" fontId="11" fillId="2" borderId="1" xfId="0" applyFont="1" applyFill="1" applyBorder="1" applyAlignment="1">
      <alignment horizontal="left" vertical="center" indent="1"/>
    </xf>
    <xf numFmtId="164" fontId="14" fillId="2" borderId="1" xfId="0" applyNumberFormat="1" applyFont="1" applyFill="1" applyBorder="1" applyAlignment="1">
      <alignment horizontal="right" vertical="center"/>
    </xf>
    <xf numFmtId="0" fontId="8" fillId="2" borderId="0" xfId="0" applyFont="1" applyFill="1" applyAlignment="1">
      <alignment horizontal="center" vertical="center" textRotation="90"/>
    </xf>
    <xf numFmtId="0" fontId="1" fillId="2" borderId="0" xfId="0" applyFont="1" applyFill="1" applyAlignment="1">
      <alignment horizontal="left" vertical="top" wrapText="1"/>
    </xf>
    <xf numFmtId="0" fontId="18" fillId="2" borderId="0" xfId="0" applyFont="1" applyFill="1" applyAlignment="1" applyProtection="1">
      <alignment horizontal="center" vertical="center"/>
      <protection locked="0"/>
    </xf>
    <xf numFmtId="0" fontId="18" fillId="2" borderId="2" xfId="0" applyFont="1" applyFill="1" applyBorder="1" applyAlignment="1" applyProtection="1">
      <alignment horizontal="center" vertical="center"/>
      <protection locked="0"/>
    </xf>
    <xf numFmtId="0" fontId="17" fillId="10" borderId="0" xfId="0" applyFont="1" applyFill="1" applyAlignment="1" applyProtection="1">
      <alignment horizontal="center" vertical="center"/>
      <protection locked="0"/>
    </xf>
    <xf numFmtId="0" fontId="17" fillId="10" borderId="2" xfId="0" applyFont="1" applyFill="1" applyBorder="1" applyAlignment="1" applyProtection="1">
      <alignment horizontal="center" vertical="center"/>
      <protection locked="0"/>
    </xf>
    <xf numFmtId="1" fontId="12" fillId="2" borderId="3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9" defaultPivotStyle="PivotStyleMedium7"/>
  <colors>
    <mruColors>
      <color rgb="FF9C4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310409739628638E-2"/>
          <c:y val="2.1256106565976322E-2"/>
          <c:w val="0.88574392552048697"/>
          <c:h val="0.92137020788533086"/>
        </c:manualLayout>
      </c:layout>
      <c:bubbleChart>
        <c:varyColors val="0"/>
        <c:ser>
          <c:idx val="0"/>
          <c:order val="0"/>
          <c:tx>
            <c:v>1</c:v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7524476955342985E-3"/>
                  <c:y val="4.231976633753012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Hello, I'm a stakeholder!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Matrix!$L$33</c:f>
              <c:numCache>
                <c:formatCode>0.0</c:formatCode>
                <c:ptCount val="1"/>
                <c:pt idx="0">
                  <c:v>10</c:v>
                </c:pt>
              </c:numCache>
            </c:numRef>
          </c:xVal>
          <c:yVal>
            <c:numRef>
              <c:f>Matrix!$K$33</c:f>
              <c:numCache>
                <c:formatCode>0.0</c:formatCode>
                <c:ptCount val="1"/>
                <c:pt idx="0">
                  <c:v>10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1-6765-4D9A-80E9-FA51C0AC5529}"/>
            </c:ext>
          </c:extLst>
        </c:ser>
        <c:ser>
          <c:idx val="1"/>
          <c:order val="1"/>
          <c:tx>
            <c:v>2</c:v>
          </c:tx>
          <c:spPr>
            <a:solidFill>
              <a:schemeClr val="accent2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9385066507655399"/>
                  <c:y val="1.69332114142099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Another stakeholder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Matrix!$L$34</c:f>
              <c:numCache>
                <c:formatCode>0.0</c:formatCode>
                <c:ptCount val="1"/>
                <c:pt idx="0">
                  <c:v>10</c:v>
                </c:pt>
              </c:numCache>
            </c:numRef>
          </c:xVal>
          <c:yVal>
            <c:numRef>
              <c:f>Matrix!$K$34</c:f>
              <c:numCache>
                <c:formatCode>0.0</c:formatCode>
                <c:ptCount val="1"/>
                <c:pt idx="0">
                  <c:v>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3-6765-4D9A-80E9-FA51C0AC5529}"/>
            </c:ext>
          </c:extLst>
        </c:ser>
        <c:ser>
          <c:idx val="2"/>
          <c:order val="2"/>
          <c:tx>
            <c:v>3</c:v>
          </c:tx>
          <c:spPr>
            <a:solidFill>
              <a:schemeClr val="accent3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6141915226162393"/>
                  <c:y val="-7.706115253984367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Matrix!$L$35</c:f>
              <c:numCache>
                <c:formatCode>0.0</c:formatCode>
                <c:ptCount val="1"/>
                <c:pt idx="0">
                  <c:v>9</c:v>
                </c:pt>
              </c:numCache>
            </c:numRef>
          </c:xVal>
          <c:yVal>
            <c:numRef>
              <c:f>Matrix!$K$35</c:f>
              <c:numCache>
                <c:formatCode>0.0</c:formatCode>
                <c:ptCount val="1"/>
                <c:pt idx="0">
                  <c:v>8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5-6765-4D9A-80E9-FA51C0AC5529}"/>
            </c:ext>
          </c:extLst>
        </c:ser>
        <c:ser>
          <c:idx val="3"/>
          <c:order val="3"/>
          <c:tx>
            <c:v>4</c:v>
          </c:tx>
          <c:spPr>
            <a:solidFill>
              <a:schemeClr val="accent4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Matrix!$L$36</c:f>
              <c:numCache>
                <c:formatCode>0.0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Matrix!$K$36</c:f>
              <c:numCache>
                <c:formatCode>0.0</c:formatCode>
                <c:ptCount val="1"/>
                <c:pt idx="0">
                  <c:v>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7-6765-4D9A-80E9-FA51C0AC5529}"/>
            </c:ext>
          </c:extLst>
        </c:ser>
        <c:ser>
          <c:idx val="4"/>
          <c:order val="4"/>
          <c:tx>
            <c:v>5</c:v>
          </c:tx>
          <c:spPr>
            <a:solidFill>
              <a:schemeClr val="accent5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2289313808559346"/>
                  <c:y val="-1.720330026426558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Matrix!$L$37</c:f>
              <c:numCache>
                <c:formatCode>0.0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Matrix!$K$37</c:f>
              <c:numCache>
                <c:formatCode>0.0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9-6765-4D9A-80E9-FA51C0AC5529}"/>
            </c:ext>
          </c:extLst>
        </c:ser>
        <c:ser>
          <c:idx val="5"/>
          <c:order val="5"/>
          <c:tx>
            <c:v>6</c:v>
          </c:tx>
          <c:spPr>
            <a:solidFill>
              <a:schemeClr val="accent6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7.5257666504412605E-3"/>
                  <c:y val="-1.911477807140618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Matrix!$L$38</c:f>
              <c:numCache>
                <c:formatCode>0.0</c:formatCode>
                <c:ptCount val="1"/>
                <c:pt idx="0">
                  <c:v>6</c:v>
                </c:pt>
              </c:numCache>
            </c:numRef>
          </c:xVal>
          <c:yVal>
            <c:numRef>
              <c:f>Matrix!$K$38</c:f>
              <c:numCache>
                <c:formatCode>0.0</c:formatCode>
                <c:ptCount val="1"/>
                <c:pt idx="0">
                  <c:v>6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B-6765-4D9A-80E9-FA51C0AC5529}"/>
            </c:ext>
          </c:extLst>
        </c:ser>
        <c:ser>
          <c:idx val="6"/>
          <c:order val="6"/>
          <c:tx>
            <c:v>7</c:v>
          </c:tx>
          <c:spPr>
            <a:solidFill>
              <a:schemeClr val="accent1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4887115117604971"/>
                  <c:y val="-1.1552397215617481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Matrix!$L$39</c:f>
              <c:numCache>
                <c:formatCode>0.0</c:formatCode>
                <c:ptCount val="1"/>
                <c:pt idx="0">
                  <c:v>7</c:v>
                </c:pt>
              </c:numCache>
            </c:numRef>
          </c:xVal>
          <c:yVal>
            <c:numRef>
              <c:f>Matrix!$K$39</c:f>
              <c:numCache>
                <c:formatCode>0.0</c:formatCode>
                <c:ptCount val="1"/>
                <c:pt idx="0">
                  <c:v>5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D-6765-4D9A-80E9-FA51C0AC5529}"/>
            </c:ext>
          </c:extLst>
        </c:ser>
        <c:ser>
          <c:idx val="7"/>
          <c:order val="7"/>
          <c:tx>
            <c:v>8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6796251620092745"/>
                  <c:y val="1.911477807140618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Matrix!$L$40</c:f>
              <c:numCache>
                <c:formatCode>0.0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Matrix!$K$40</c:f>
              <c:numCache>
                <c:formatCode>0.0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0F-6765-4D9A-80E9-FA51C0AC5529}"/>
            </c:ext>
          </c:extLst>
        </c:ser>
        <c:ser>
          <c:idx val="8"/>
          <c:order val="8"/>
          <c:tx>
            <c:v>9</c:v>
          </c:tx>
          <c:spPr>
            <a:solidFill>
              <a:schemeClr val="accent3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overflow" horzOverflow="overflow" vert="horz" wrap="square" lIns="0" tIns="36000" rIns="0" bIns="19050" numCol="1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0" tIns="36000" rIns="0" bIns="19050" numCol="1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36000" rIns="0" bIns="19050" numCol="1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Matrix!$L$41</c:f>
              <c:numCache>
                <c:formatCode>0.0</c:formatCode>
                <c:ptCount val="1"/>
                <c:pt idx="0">
                  <c:v>8</c:v>
                </c:pt>
              </c:numCache>
            </c:numRef>
          </c:xVal>
          <c:yVal>
            <c:numRef>
              <c:f>Matrix!$K$41</c:f>
              <c:numCache>
                <c:formatCode>0.0</c:formatCode>
                <c:ptCount val="1"/>
                <c:pt idx="0">
                  <c:v>4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1-6765-4D9A-80E9-FA51C0AC5529}"/>
            </c:ext>
          </c:extLst>
        </c:ser>
        <c:ser>
          <c:idx val="9"/>
          <c:order val="9"/>
          <c:tx>
            <c:v>10</c:v>
          </c:tx>
          <c:spPr>
            <a:solidFill>
              <a:schemeClr val="accent4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l"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Matrix!$L$42</c:f>
              <c:numCache>
                <c:formatCode>0.0</c:formatCode>
                <c:ptCount val="1"/>
              </c:numCache>
            </c:numRef>
          </c:xVal>
          <c:yVal>
            <c:numRef>
              <c:f>Matrix!$K$42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3-6765-4D9A-80E9-FA51C0AC5529}"/>
            </c:ext>
          </c:extLst>
        </c:ser>
        <c:ser>
          <c:idx val="10"/>
          <c:order val="10"/>
          <c:tx>
            <c:v>11</c:v>
          </c:tx>
          <c:spPr>
            <a:solidFill>
              <a:schemeClr val="accent5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Matrix!$L$43</c:f>
              <c:numCache>
                <c:formatCode>0.0</c:formatCode>
                <c:ptCount val="1"/>
              </c:numCache>
            </c:numRef>
          </c:xVal>
          <c:yVal>
            <c:numRef>
              <c:f>Matrix!$K$43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5-6765-4D9A-80E9-FA51C0AC5529}"/>
            </c:ext>
          </c:extLst>
        </c:ser>
        <c:ser>
          <c:idx val="11"/>
          <c:order val="11"/>
          <c:tx>
            <c:v>12</c:v>
          </c:tx>
          <c:spPr>
            <a:solidFill>
              <a:schemeClr val="accent6">
                <a:lumMod val="6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1149126739527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6765-4D9A-80E9-FA51C0AC55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Matrix!$L$44</c:f>
              <c:numCache>
                <c:formatCode>0.0</c:formatCode>
                <c:ptCount val="1"/>
              </c:numCache>
            </c:numRef>
          </c:xVal>
          <c:yVal>
            <c:numRef>
              <c:f>Matrix!$K$44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7-6765-4D9A-80E9-FA51C0AC5529}"/>
            </c:ext>
          </c:extLst>
        </c:ser>
        <c:ser>
          <c:idx val="12"/>
          <c:order val="12"/>
          <c:tx>
            <c:v>13</c:v>
          </c:tx>
          <c:spPr>
            <a:solidFill>
              <a:schemeClr val="accent1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Matrix!$L$45</c:f>
              <c:numCache>
                <c:formatCode>0.0</c:formatCode>
                <c:ptCount val="1"/>
              </c:numCache>
            </c:numRef>
          </c:xVal>
          <c:yVal>
            <c:numRef>
              <c:f>Matrix!$K$45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9-6765-4D9A-80E9-FA51C0AC5529}"/>
            </c:ext>
          </c:extLst>
        </c:ser>
        <c:ser>
          <c:idx val="13"/>
          <c:order val="13"/>
          <c:tx>
            <c:v>14</c:v>
          </c:tx>
          <c:spPr>
            <a:solidFill>
              <a:schemeClr val="accent2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Matrix!$L$46</c:f>
              <c:numCache>
                <c:formatCode>0.0</c:formatCode>
                <c:ptCount val="1"/>
              </c:numCache>
            </c:numRef>
          </c:xVal>
          <c:yVal>
            <c:numRef>
              <c:f>Matrix!$K$46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B-6765-4D9A-80E9-FA51C0AC5529}"/>
            </c:ext>
          </c:extLst>
        </c:ser>
        <c:ser>
          <c:idx val="14"/>
          <c:order val="14"/>
          <c:tx>
            <c:v>15</c:v>
          </c:tx>
          <c:spPr>
            <a:solidFill>
              <a:schemeClr val="accent3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Matrix!$L$47</c:f>
              <c:numCache>
                <c:formatCode>0.0</c:formatCode>
                <c:ptCount val="1"/>
              </c:numCache>
            </c:numRef>
          </c:xVal>
          <c:yVal>
            <c:numRef>
              <c:f>Matrix!$K$47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D-6765-4D9A-80E9-FA51C0AC5529}"/>
            </c:ext>
          </c:extLst>
        </c:ser>
        <c:ser>
          <c:idx val="15"/>
          <c:order val="15"/>
          <c:tx>
            <c:v>16</c:v>
          </c:tx>
          <c:spPr>
            <a:solidFill>
              <a:schemeClr val="accent4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Matrix!$L$48</c:f>
              <c:numCache>
                <c:formatCode>0.0</c:formatCode>
                <c:ptCount val="1"/>
              </c:numCache>
            </c:numRef>
          </c:xVal>
          <c:yVal>
            <c:numRef>
              <c:f>Matrix!$K$48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1F-6765-4D9A-80E9-FA51C0AC5529}"/>
            </c:ext>
          </c:extLst>
        </c:ser>
        <c:ser>
          <c:idx val="16"/>
          <c:order val="16"/>
          <c:tx>
            <c:v>17</c:v>
          </c:tx>
          <c:spPr>
            <a:solidFill>
              <a:schemeClr val="accent5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Matrix!$L$49</c:f>
              <c:numCache>
                <c:formatCode>0.0</c:formatCode>
                <c:ptCount val="1"/>
              </c:numCache>
            </c:numRef>
          </c:xVal>
          <c:yVal>
            <c:numRef>
              <c:f>Matrix!$K$49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1-6765-4D9A-80E9-FA51C0AC5529}"/>
            </c:ext>
          </c:extLst>
        </c:ser>
        <c:ser>
          <c:idx val="17"/>
          <c:order val="17"/>
          <c:tx>
            <c:v>18</c:v>
          </c:tx>
          <c:spPr>
            <a:solidFill>
              <a:schemeClr val="accent6">
                <a:lumMod val="80000"/>
                <a:lumOff val="2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Matrix!$L$50</c:f>
              <c:numCache>
                <c:formatCode>0.0</c:formatCode>
                <c:ptCount val="1"/>
              </c:numCache>
            </c:numRef>
          </c:xVal>
          <c:yVal>
            <c:numRef>
              <c:f>Matrix!$K$50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3-6765-4D9A-80E9-FA51C0AC5529}"/>
            </c:ext>
          </c:extLst>
        </c:ser>
        <c:ser>
          <c:idx val="18"/>
          <c:order val="18"/>
          <c:tx>
            <c:v>19</c:v>
          </c:tx>
          <c:spPr>
            <a:solidFill>
              <a:schemeClr val="accent1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Matrix!$L$51</c:f>
              <c:numCache>
                <c:formatCode>0.0</c:formatCode>
                <c:ptCount val="1"/>
              </c:numCache>
            </c:numRef>
          </c:xVal>
          <c:yVal>
            <c:numRef>
              <c:f>Matrix!$K$51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5-6765-4D9A-80E9-FA51C0AC5529}"/>
            </c:ext>
          </c:extLst>
        </c:ser>
        <c:ser>
          <c:idx val="19"/>
          <c:order val="19"/>
          <c:tx>
            <c:v>20</c:v>
          </c:tx>
          <c:spPr>
            <a:solidFill>
              <a:schemeClr val="accent2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Matrix!$L$52</c:f>
              <c:numCache>
                <c:formatCode>0.0</c:formatCode>
                <c:ptCount val="1"/>
              </c:numCache>
            </c:numRef>
          </c:xVal>
          <c:yVal>
            <c:numRef>
              <c:f>Matrix!$K$52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7-6765-4D9A-80E9-FA51C0AC5529}"/>
            </c:ext>
          </c:extLst>
        </c:ser>
        <c:ser>
          <c:idx val="20"/>
          <c:order val="20"/>
          <c:tx>
            <c:v>21</c:v>
          </c:tx>
          <c:spPr>
            <a:solidFill>
              <a:schemeClr val="accent3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Matrix!$L$53</c:f>
              <c:numCache>
                <c:formatCode>0.0</c:formatCode>
                <c:ptCount val="1"/>
              </c:numCache>
            </c:numRef>
          </c:xVal>
          <c:yVal>
            <c:numRef>
              <c:f>Matrix!$K$53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9-6765-4D9A-80E9-FA51C0AC5529}"/>
            </c:ext>
          </c:extLst>
        </c:ser>
        <c:ser>
          <c:idx val="21"/>
          <c:order val="21"/>
          <c:tx>
            <c:v>22</c:v>
          </c:tx>
          <c:spPr>
            <a:solidFill>
              <a:schemeClr val="accent4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Matrix!$L$54</c:f>
              <c:numCache>
                <c:formatCode>0.0</c:formatCode>
                <c:ptCount val="1"/>
              </c:numCache>
            </c:numRef>
          </c:xVal>
          <c:yVal>
            <c:numRef>
              <c:f>Matrix!$K$54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B-6765-4D9A-80E9-FA51C0AC5529}"/>
            </c:ext>
          </c:extLst>
        </c:ser>
        <c:ser>
          <c:idx val="22"/>
          <c:order val="22"/>
          <c:tx>
            <c:v>23</c:v>
          </c:tx>
          <c:spPr>
            <a:solidFill>
              <a:schemeClr val="accent5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Matrix!$L$55</c:f>
              <c:numCache>
                <c:formatCode>0.0</c:formatCode>
                <c:ptCount val="1"/>
              </c:numCache>
            </c:numRef>
          </c:xVal>
          <c:yVal>
            <c:numRef>
              <c:f>Matrix!$K$55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D-6765-4D9A-80E9-FA51C0AC5529}"/>
            </c:ext>
          </c:extLst>
        </c:ser>
        <c:ser>
          <c:idx val="23"/>
          <c:order val="23"/>
          <c:tx>
            <c:v>24</c:v>
          </c:tx>
          <c:spPr>
            <a:solidFill>
              <a:schemeClr val="accent6">
                <a:lumMod val="8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Matrix!$L$56</c:f>
              <c:numCache>
                <c:formatCode>0.0</c:formatCode>
                <c:ptCount val="1"/>
              </c:numCache>
            </c:numRef>
          </c:xVal>
          <c:yVal>
            <c:numRef>
              <c:f>Matrix!$K$56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2F-6765-4D9A-80E9-FA51C0AC5529}"/>
            </c:ext>
          </c:extLst>
        </c:ser>
        <c:ser>
          <c:idx val="24"/>
          <c:order val="24"/>
          <c:tx>
            <c:v>25</c:v>
          </c:tx>
          <c:spPr>
            <a:solidFill>
              <a:schemeClr val="accent1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Matrix!$L$57</c:f>
              <c:numCache>
                <c:formatCode>0.0</c:formatCode>
                <c:ptCount val="1"/>
              </c:numCache>
            </c:numRef>
          </c:xVal>
          <c:yVal>
            <c:numRef>
              <c:f>Matrix!$K$57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1-6765-4D9A-80E9-FA51C0AC5529}"/>
            </c:ext>
          </c:extLst>
        </c:ser>
        <c:ser>
          <c:idx val="25"/>
          <c:order val="25"/>
          <c:tx>
            <c:v>26</c:v>
          </c:tx>
          <c:spPr>
            <a:solidFill>
              <a:schemeClr val="accent2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Matrix!$L$58</c:f>
              <c:numCache>
                <c:formatCode>0.0</c:formatCode>
                <c:ptCount val="1"/>
              </c:numCache>
            </c:numRef>
          </c:xVal>
          <c:yVal>
            <c:numRef>
              <c:f>Matrix!$K$58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3-6765-4D9A-80E9-FA51C0AC5529}"/>
            </c:ext>
          </c:extLst>
        </c:ser>
        <c:ser>
          <c:idx val="26"/>
          <c:order val="26"/>
          <c:tx>
            <c:v>27</c:v>
          </c:tx>
          <c:spPr>
            <a:solidFill>
              <a:schemeClr val="accent3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Matrix!$L$59</c:f>
              <c:numCache>
                <c:formatCode>0.0</c:formatCode>
                <c:ptCount val="1"/>
              </c:numCache>
            </c:numRef>
          </c:xVal>
          <c:yVal>
            <c:numRef>
              <c:f>Matrix!$K$59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5-6765-4D9A-80E9-FA51C0AC5529}"/>
            </c:ext>
          </c:extLst>
        </c:ser>
        <c:ser>
          <c:idx val="27"/>
          <c:order val="27"/>
          <c:tx>
            <c:v>28</c:v>
          </c:tx>
          <c:spPr>
            <a:solidFill>
              <a:schemeClr val="accent4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Matrix!$L$60</c:f>
              <c:numCache>
                <c:formatCode>0.0</c:formatCode>
                <c:ptCount val="1"/>
              </c:numCache>
            </c:numRef>
          </c:xVal>
          <c:yVal>
            <c:numRef>
              <c:f>Matrix!$K$60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7-6765-4D9A-80E9-FA51C0AC5529}"/>
            </c:ext>
          </c:extLst>
        </c:ser>
        <c:ser>
          <c:idx val="28"/>
          <c:order val="28"/>
          <c:tx>
            <c:v>29</c:v>
          </c:tx>
          <c:spPr>
            <a:solidFill>
              <a:schemeClr val="accent5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Matrix!$L$61</c:f>
              <c:numCache>
                <c:formatCode>0.0</c:formatCode>
                <c:ptCount val="1"/>
              </c:numCache>
            </c:numRef>
          </c:xVal>
          <c:yVal>
            <c:numRef>
              <c:f>Matrix!$K$61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9-6765-4D9A-80E9-FA51C0AC5529}"/>
            </c:ext>
          </c:extLst>
        </c:ser>
        <c:ser>
          <c:idx val="29"/>
          <c:order val="29"/>
          <c:tx>
            <c:v>30</c:v>
          </c:tx>
          <c:spPr>
            <a:solidFill>
              <a:schemeClr val="accent6">
                <a:lumMod val="60000"/>
                <a:lumOff val="4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Matrix!$L$62</c:f>
              <c:numCache>
                <c:formatCode>0.0</c:formatCode>
                <c:ptCount val="1"/>
              </c:numCache>
            </c:numRef>
          </c:xVal>
          <c:yVal>
            <c:numRef>
              <c:f>Matrix!$K$62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B-6765-4D9A-80E9-FA51C0AC5529}"/>
            </c:ext>
          </c:extLst>
        </c:ser>
        <c:ser>
          <c:idx val="30"/>
          <c:order val="30"/>
          <c:tx>
            <c:v>31</c:v>
          </c:tx>
          <c:spPr>
            <a:solidFill>
              <a:schemeClr val="accent1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Matrix!$L$63</c:f>
              <c:numCache>
                <c:formatCode>0.0</c:formatCode>
                <c:ptCount val="1"/>
              </c:numCache>
            </c:numRef>
          </c:xVal>
          <c:yVal>
            <c:numRef>
              <c:f>Matrix!$K$63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D-6765-4D9A-80E9-FA51C0AC5529}"/>
            </c:ext>
          </c:extLst>
        </c:ser>
        <c:ser>
          <c:idx val="31"/>
          <c:order val="31"/>
          <c:tx>
            <c:v>32</c:v>
          </c:tx>
          <c:spPr>
            <a:solidFill>
              <a:schemeClr val="accent2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Matrix!$L$64</c:f>
              <c:numCache>
                <c:formatCode>0.0</c:formatCode>
                <c:ptCount val="1"/>
              </c:numCache>
            </c:numRef>
          </c:xVal>
          <c:yVal>
            <c:numRef>
              <c:f>Matrix!$K$64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3F-6765-4D9A-80E9-FA51C0AC5529}"/>
            </c:ext>
          </c:extLst>
        </c:ser>
        <c:ser>
          <c:idx val="32"/>
          <c:order val="32"/>
          <c:tx>
            <c:v>33</c:v>
          </c:tx>
          <c:spPr>
            <a:solidFill>
              <a:schemeClr val="accent3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Matrix!$L$65</c:f>
              <c:numCache>
                <c:formatCode>0.0</c:formatCode>
                <c:ptCount val="1"/>
              </c:numCache>
            </c:numRef>
          </c:xVal>
          <c:yVal>
            <c:numRef>
              <c:f>Matrix!$K$65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1-6765-4D9A-80E9-FA51C0AC5529}"/>
            </c:ext>
          </c:extLst>
        </c:ser>
        <c:ser>
          <c:idx val="33"/>
          <c:order val="33"/>
          <c:tx>
            <c:v>34</c:v>
          </c:tx>
          <c:spPr>
            <a:solidFill>
              <a:schemeClr val="accent4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Matrix!$L$66</c:f>
              <c:numCache>
                <c:formatCode>0.0</c:formatCode>
                <c:ptCount val="1"/>
              </c:numCache>
            </c:numRef>
          </c:xVal>
          <c:yVal>
            <c:numRef>
              <c:f>Matrix!$K$66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3-6765-4D9A-80E9-FA51C0AC5529}"/>
            </c:ext>
          </c:extLst>
        </c:ser>
        <c:ser>
          <c:idx val="34"/>
          <c:order val="34"/>
          <c:tx>
            <c:v>35</c:v>
          </c:tx>
          <c:spPr>
            <a:solidFill>
              <a:schemeClr val="accent5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Matrix!$L$67</c:f>
              <c:numCache>
                <c:formatCode>0.0</c:formatCode>
                <c:ptCount val="1"/>
              </c:numCache>
            </c:numRef>
          </c:xVal>
          <c:yVal>
            <c:numRef>
              <c:f>Matrix!$K$67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5-6765-4D9A-80E9-FA51C0AC5529}"/>
            </c:ext>
          </c:extLst>
        </c:ser>
        <c:ser>
          <c:idx val="35"/>
          <c:order val="35"/>
          <c:tx>
            <c:v>36</c:v>
          </c:tx>
          <c:spPr>
            <a:solidFill>
              <a:schemeClr val="accent6">
                <a:lumMod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Matrix!$L$68</c:f>
              <c:numCache>
                <c:formatCode>0.0</c:formatCode>
                <c:ptCount val="1"/>
              </c:numCache>
            </c:numRef>
          </c:xVal>
          <c:yVal>
            <c:numRef>
              <c:f>Matrix!$K$68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7-6765-4D9A-80E9-FA51C0AC5529}"/>
            </c:ext>
          </c:extLst>
        </c:ser>
        <c:ser>
          <c:idx val="36"/>
          <c:order val="36"/>
          <c:tx>
            <c:v>37</c:v>
          </c:tx>
          <c:spPr>
            <a:solidFill>
              <a:schemeClr val="accent1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Matrix!$L$69</c:f>
              <c:numCache>
                <c:formatCode>0.0</c:formatCode>
                <c:ptCount val="1"/>
              </c:numCache>
            </c:numRef>
          </c:xVal>
          <c:yVal>
            <c:numRef>
              <c:f>Matrix!$K$69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9-6765-4D9A-80E9-FA51C0AC5529}"/>
            </c:ext>
          </c:extLst>
        </c:ser>
        <c:ser>
          <c:idx val="37"/>
          <c:order val="37"/>
          <c:tx>
            <c:v>38</c:v>
          </c:tx>
          <c:spPr>
            <a:solidFill>
              <a:schemeClr val="accent2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Matrix!$L$70</c:f>
              <c:numCache>
                <c:formatCode>0.0</c:formatCode>
                <c:ptCount val="1"/>
              </c:numCache>
            </c:numRef>
          </c:xVal>
          <c:yVal>
            <c:numRef>
              <c:f>Matrix!$K$70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B-6765-4D9A-80E9-FA51C0AC5529}"/>
            </c:ext>
          </c:extLst>
        </c:ser>
        <c:ser>
          <c:idx val="38"/>
          <c:order val="38"/>
          <c:tx>
            <c:v>39</c:v>
          </c:tx>
          <c:spPr>
            <a:solidFill>
              <a:schemeClr val="accent3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Matrix!$L$71</c:f>
              <c:numCache>
                <c:formatCode>0.0</c:formatCode>
                <c:ptCount val="1"/>
              </c:numCache>
            </c:numRef>
          </c:xVal>
          <c:yVal>
            <c:numRef>
              <c:f>Matrix!$K$71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D-6765-4D9A-80E9-FA51C0AC5529}"/>
            </c:ext>
          </c:extLst>
        </c:ser>
        <c:ser>
          <c:idx val="39"/>
          <c:order val="39"/>
          <c:tx>
            <c:v>40</c:v>
          </c:tx>
          <c:spPr>
            <a:solidFill>
              <a:schemeClr val="accent4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Matrix!$L$72</c:f>
              <c:numCache>
                <c:formatCode>0.0</c:formatCode>
                <c:ptCount val="1"/>
              </c:numCache>
            </c:numRef>
          </c:xVal>
          <c:yVal>
            <c:numRef>
              <c:f>Matrix!$K$72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4F-6765-4D9A-80E9-FA51C0AC5529}"/>
            </c:ext>
          </c:extLst>
        </c:ser>
        <c:ser>
          <c:idx val="40"/>
          <c:order val="40"/>
          <c:tx>
            <c:v>41</c:v>
          </c:tx>
          <c:spPr>
            <a:solidFill>
              <a:schemeClr val="accent5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Matrix!$L$73</c:f>
              <c:numCache>
                <c:formatCode>0.0</c:formatCode>
                <c:ptCount val="1"/>
              </c:numCache>
            </c:numRef>
          </c:xVal>
          <c:yVal>
            <c:numRef>
              <c:f>Matrix!$K$73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1-6765-4D9A-80E9-FA51C0AC5529}"/>
            </c:ext>
          </c:extLst>
        </c:ser>
        <c:ser>
          <c:idx val="41"/>
          <c:order val="41"/>
          <c:tx>
            <c:v>42</c:v>
          </c:tx>
          <c:spPr>
            <a:solidFill>
              <a:schemeClr val="accent6">
                <a:lumMod val="70000"/>
                <a:lumOff val="3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Matrix!$L$74</c:f>
              <c:numCache>
                <c:formatCode>0.0</c:formatCode>
                <c:ptCount val="1"/>
              </c:numCache>
            </c:numRef>
          </c:xVal>
          <c:yVal>
            <c:numRef>
              <c:f>Matrix!$K$74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3-6765-4D9A-80E9-FA51C0AC5529}"/>
            </c:ext>
          </c:extLst>
        </c:ser>
        <c:ser>
          <c:idx val="42"/>
          <c:order val="42"/>
          <c:tx>
            <c:v>43</c:v>
          </c:tx>
          <c:spPr>
            <a:solidFill>
              <a:schemeClr val="accent1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Matrix!$L$75</c:f>
              <c:numCache>
                <c:formatCode>0.0</c:formatCode>
                <c:ptCount val="1"/>
              </c:numCache>
            </c:numRef>
          </c:xVal>
          <c:yVal>
            <c:numRef>
              <c:f>Matrix!$K$75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5-6765-4D9A-80E9-FA51C0AC5529}"/>
            </c:ext>
          </c:extLst>
        </c:ser>
        <c:ser>
          <c:idx val="43"/>
          <c:order val="43"/>
          <c:tx>
            <c:v>44</c:v>
          </c:tx>
          <c:spPr>
            <a:solidFill>
              <a:schemeClr val="accent2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Matrix!$L$76</c:f>
              <c:numCache>
                <c:formatCode>0.0</c:formatCode>
                <c:ptCount val="1"/>
              </c:numCache>
            </c:numRef>
          </c:xVal>
          <c:yVal>
            <c:numRef>
              <c:f>Matrix!$K$76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7-6765-4D9A-80E9-FA51C0AC5529}"/>
            </c:ext>
          </c:extLst>
        </c:ser>
        <c:ser>
          <c:idx val="44"/>
          <c:order val="44"/>
          <c:tx>
            <c:v>45</c:v>
          </c:tx>
          <c:spPr>
            <a:solidFill>
              <a:schemeClr val="accent3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Matrix!$L$77</c:f>
              <c:numCache>
                <c:formatCode>0.0</c:formatCode>
                <c:ptCount val="1"/>
              </c:numCache>
            </c:numRef>
          </c:xVal>
          <c:yVal>
            <c:numRef>
              <c:f>Matrix!$K$77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9-6765-4D9A-80E9-FA51C0AC5529}"/>
            </c:ext>
          </c:extLst>
        </c:ser>
        <c:ser>
          <c:idx val="45"/>
          <c:order val="45"/>
          <c:tx>
            <c:v>46</c:v>
          </c:tx>
          <c:spPr>
            <a:solidFill>
              <a:schemeClr val="accent4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Matrix!$L$78</c:f>
              <c:numCache>
                <c:formatCode>0.0</c:formatCode>
                <c:ptCount val="1"/>
              </c:numCache>
            </c:numRef>
          </c:xVal>
          <c:yVal>
            <c:numRef>
              <c:f>Matrix!$K$78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B-6765-4D9A-80E9-FA51C0AC5529}"/>
            </c:ext>
          </c:extLst>
        </c:ser>
        <c:ser>
          <c:idx val="46"/>
          <c:order val="46"/>
          <c:tx>
            <c:v>47</c:v>
          </c:tx>
          <c:spPr>
            <a:solidFill>
              <a:schemeClr val="accent5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Matrix!$L$79</c:f>
              <c:numCache>
                <c:formatCode>0.0</c:formatCode>
                <c:ptCount val="1"/>
              </c:numCache>
            </c:numRef>
          </c:xVal>
          <c:yVal>
            <c:numRef>
              <c:f>Matrix!$K$79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D-6765-4D9A-80E9-FA51C0AC5529}"/>
            </c:ext>
          </c:extLst>
        </c:ser>
        <c:ser>
          <c:idx val="47"/>
          <c:order val="47"/>
          <c:tx>
            <c:v>48</c:v>
          </c:tx>
          <c:spPr>
            <a:solidFill>
              <a:schemeClr val="accent6">
                <a:lumMod val="7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Matrix!$L$80</c:f>
              <c:numCache>
                <c:formatCode>0.0</c:formatCode>
                <c:ptCount val="1"/>
              </c:numCache>
            </c:numRef>
          </c:xVal>
          <c:yVal>
            <c:numRef>
              <c:f>Matrix!$K$80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5F-6765-4D9A-80E9-FA51C0AC5529}"/>
            </c:ext>
          </c:extLst>
        </c:ser>
        <c:ser>
          <c:idx val="48"/>
          <c:order val="48"/>
          <c:tx>
            <c:v>49</c:v>
          </c:tx>
          <c:spPr>
            <a:solidFill>
              <a:schemeClr val="accent1">
                <a:lumMod val="50000"/>
                <a:lumOff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Matrix!$L$81</c:f>
              <c:numCache>
                <c:formatCode>0.0</c:formatCode>
                <c:ptCount val="1"/>
              </c:numCache>
            </c:numRef>
          </c:xVal>
          <c:yVal>
            <c:numRef>
              <c:f>Matrix!$K$81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61-6765-4D9A-80E9-FA51C0AC5529}"/>
            </c:ext>
          </c:extLst>
        </c:ser>
        <c:ser>
          <c:idx val="49"/>
          <c:order val="49"/>
          <c:tx>
            <c:v>50</c:v>
          </c:tx>
          <c:spPr>
            <a:solidFill>
              <a:schemeClr val="accent2">
                <a:lumMod val="50000"/>
                <a:lumOff val="50000"/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A86D-924E-9118-4B083A78C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Matrix!$L$82</c:f>
              <c:numCache>
                <c:formatCode>0.0</c:formatCode>
                <c:ptCount val="1"/>
              </c:numCache>
            </c:numRef>
          </c:xVal>
          <c:yVal>
            <c:numRef>
              <c:f>Matrix!$K$82</c:f>
              <c:numCache>
                <c:formatCode>0.0</c:formatCode>
                <c:ptCount val="1"/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6="http://schemas.microsoft.com/office/drawing/2014/chart" uri="{C3380CC4-5D6E-409C-BE32-E72D297353CC}">
              <c16:uniqueId val="{00000063-6765-4D9A-80E9-FA51C0AC5529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bubbleScale val="12"/>
        <c:showNegBubbles val="1"/>
        <c:sizeRepresents val="w"/>
        <c:axId val="183654064"/>
        <c:axId val="183654624"/>
      </c:bubbleChart>
      <c:valAx>
        <c:axId val="183654064"/>
        <c:scaling>
          <c:orientation val="minMax"/>
          <c:max val="10"/>
          <c:min val="0"/>
        </c:scaling>
        <c:delete val="1"/>
        <c:axPos val="b"/>
        <c:numFmt formatCode="0.0" sourceLinked="1"/>
        <c:majorTickMark val="out"/>
        <c:minorTickMark val="none"/>
        <c:tickLblPos val="nextTo"/>
        <c:crossAx val="183654624"/>
        <c:crosses val="autoZero"/>
        <c:crossBetween val="midCat"/>
        <c:majorUnit val="1"/>
        <c:minorUnit val="1"/>
      </c:valAx>
      <c:valAx>
        <c:axId val="183654624"/>
        <c:scaling>
          <c:orientation val="minMax"/>
          <c:max val="10"/>
          <c:min val="0"/>
        </c:scaling>
        <c:delete val="1"/>
        <c:axPos val="l"/>
        <c:numFmt formatCode="0.0" sourceLinked="1"/>
        <c:majorTickMark val="out"/>
        <c:minorTickMark val="none"/>
        <c:tickLblPos val="nextTo"/>
        <c:crossAx val="183654064"/>
        <c:crossesAt val="0"/>
        <c:crossBetween val="midCat"/>
        <c:majorUnit val="1"/>
        <c:minorUnit val="1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9171</xdr:colOff>
      <xdr:row>3</xdr:row>
      <xdr:rowOff>2394</xdr:rowOff>
    </xdr:from>
    <xdr:to>
      <xdr:col>12</xdr:col>
      <xdr:colOff>776917</xdr:colOff>
      <xdr:row>26</xdr:row>
      <xdr:rowOff>187325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067504" y="743227"/>
          <a:ext cx="9551913" cy="6471431"/>
          <a:chOff x="884060" y="712611"/>
          <a:chExt cx="10879847" cy="6981825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84060" y="712611"/>
            <a:ext cx="5429406" cy="346943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chemeClr val="accent1">
                    <a:lumMod val="60000"/>
                    <a:lumOff val="40000"/>
                  </a:schemeClr>
                </a:solidFill>
              </a:rPr>
              <a:t>MEET</a:t>
            </a:r>
            <a:r>
              <a:rPr lang="pt-BR" sz="2400" baseline="0">
                <a:solidFill>
                  <a:schemeClr val="accent1">
                    <a:lumMod val="60000"/>
                    <a:lumOff val="40000"/>
                  </a:schemeClr>
                </a:solidFill>
              </a:rPr>
              <a:t> THEIR NEEDS</a:t>
            </a:r>
            <a:endParaRPr lang="pt-BR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84060" y="4220226"/>
            <a:ext cx="5429406" cy="3474210"/>
          </a:xfrm>
          <a:prstGeom prst="rect">
            <a:avLst/>
          </a:prstGeom>
          <a:solidFill>
            <a:srgbClr val="9C45DF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rgbClr val="9C45DF"/>
                </a:solidFill>
              </a:rPr>
              <a:t>LEAST</a:t>
            </a:r>
            <a:r>
              <a:rPr lang="pt-BR" sz="2400" baseline="0">
                <a:solidFill>
                  <a:srgbClr val="9C45DF"/>
                </a:solidFill>
              </a:rPr>
              <a:t> IMPORTANT</a:t>
            </a:r>
            <a:endParaRPr lang="pt-BR" sz="2400">
              <a:solidFill>
                <a:srgbClr val="9C45DF"/>
              </a:solidFill>
            </a:endParaRPr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6334501" y="4220226"/>
            <a:ext cx="5429406" cy="347421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chemeClr val="accent6">
                    <a:lumMod val="60000"/>
                    <a:lumOff val="40000"/>
                  </a:schemeClr>
                </a:solidFill>
              </a:rPr>
              <a:t>SHOW CONSIDERATION</a:t>
            </a:r>
            <a:endParaRPr lang="pt-BR">
              <a:solidFill>
                <a:schemeClr val="accent6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6334501" y="712611"/>
            <a:ext cx="5429406" cy="346943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400">
                <a:solidFill>
                  <a:schemeClr val="accent2">
                    <a:lumMod val="60000"/>
                    <a:lumOff val="40000"/>
                  </a:schemeClr>
                </a:solidFill>
              </a:rPr>
              <a:t>KEY PLAYER</a:t>
            </a:r>
          </a:p>
        </xdr:txBody>
      </xdr:sp>
    </xdr:grpSp>
    <xdr:clientData/>
  </xdr:twoCellAnchor>
  <xdr:twoCellAnchor>
    <xdr:from>
      <xdr:col>0</xdr:col>
      <xdr:colOff>0</xdr:colOff>
      <xdr:row>2</xdr:row>
      <xdr:rowOff>97536</xdr:rowOff>
    </xdr:from>
    <xdr:to>
      <xdr:col>12</xdr:col>
      <xdr:colOff>940525</xdr:colOff>
      <xdr:row>27</xdr:row>
      <xdr:rowOff>385661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S101"/>
  <sheetViews>
    <sheetView tabSelected="1" zoomScale="60" zoomScaleNormal="60" workbookViewId="0">
      <selection activeCell="X35" sqref="X35"/>
    </sheetView>
  </sheetViews>
  <sheetFormatPr baseColWidth="10" defaultColWidth="10.83203125" defaultRowHeight="16"/>
  <cols>
    <col min="1" max="1" width="6.83203125" style="2" customWidth="1"/>
    <col min="2" max="2" width="6.83203125" style="13" customWidth="1"/>
    <col min="3" max="3" width="10.83203125" style="2"/>
    <col min="4" max="4" width="10.83203125" style="13"/>
    <col min="5" max="5" width="10.1640625" style="2" customWidth="1"/>
    <col min="6" max="6" width="10.83203125" style="13"/>
    <col min="7" max="7" width="9.5" style="2" customWidth="1"/>
    <col min="8" max="8" width="10.83203125" style="13"/>
    <col min="9" max="9" width="15.1640625" style="2" customWidth="1"/>
    <col min="10" max="10" width="13.5" style="13" customWidth="1"/>
    <col min="11" max="11" width="10.83203125" style="34"/>
    <col min="12" max="12" width="12.5" style="34" customWidth="1"/>
    <col min="13" max="13" width="12.1640625" style="9" bestFit="1" customWidth="1"/>
    <col min="14" max="14" width="3" style="20" customWidth="1"/>
    <col min="15" max="15" width="14.1640625" style="19" bestFit="1" customWidth="1"/>
    <col min="16" max="16" width="12" style="2" customWidth="1"/>
    <col min="17" max="17" width="16.1640625" style="2" bestFit="1" customWidth="1"/>
    <col min="18" max="18" width="25.5" style="2" customWidth="1"/>
    <col min="19" max="16384" width="10.83203125" style="2"/>
  </cols>
  <sheetData>
    <row r="1" spans="1:19" ht="16" customHeight="1">
      <c r="A1" s="64" t="s">
        <v>6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6" t="s">
        <v>4</v>
      </c>
      <c r="P1" s="66"/>
      <c r="Q1" s="66"/>
      <c r="R1" s="66"/>
    </row>
    <row r="2" spans="1:19" ht="26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7"/>
      <c r="P2" s="67"/>
      <c r="Q2" s="67"/>
      <c r="R2" s="67"/>
    </row>
    <row r="3" spans="1:19" ht="15" customHeight="1">
      <c r="B3" s="11"/>
      <c r="C3" s="1"/>
      <c r="D3" s="11"/>
      <c r="E3" s="1"/>
      <c r="F3" s="11"/>
      <c r="G3" s="1"/>
      <c r="H3" s="11"/>
      <c r="I3" s="1"/>
      <c r="J3" s="11"/>
      <c r="K3" s="29"/>
      <c r="L3" s="29"/>
      <c r="M3" s="10"/>
    </row>
    <row r="4" spans="1:19">
      <c r="B4" s="26" t="s">
        <v>12</v>
      </c>
      <c r="C4" s="1"/>
      <c r="D4" s="11"/>
      <c r="E4" s="1"/>
      <c r="F4" s="11"/>
      <c r="G4" s="1"/>
      <c r="H4" s="11"/>
      <c r="I4" s="1"/>
      <c r="J4" s="11"/>
      <c r="K4" s="29"/>
      <c r="L4" s="29"/>
      <c r="M4" s="10"/>
      <c r="O4" s="68" t="s">
        <v>32</v>
      </c>
      <c r="P4" s="68"/>
      <c r="Q4" s="68"/>
      <c r="R4" s="68"/>
    </row>
    <row r="5" spans="1:19">
      <c r="B5" s="62" t="s">
        <v>11</v>
      </c>
      <c r="C5" s="1"/>
      <c r="D5" s="11"/>
      <c r="E5" s="1"/>
      <c r="F5" s="11"/>
      <c r="G5" s="1"/>
      <c r="H5" s="11"/>
      <c r="I5" s="1"/>
      <c r="J5" s="11"/>
      <c r="K5" s="29"/>
      <c r="L5" s="29"/>
      <c r="M5" s="10"/>
      <c r="N5" s="25"/>
      <c r="O5" s="22" t="s">
        <v>23</v>
      </c>
      <c r="P5" s="43" t="s">
        <v>24</v>
      </c>
      <c r="Q5" s="43"/>
      <c r="R5" s="43"/>
    </row>
    <row r="6" spans="1:19">
      <c r="B6" s="62"/>
      <c r="C6" s="1"/>
      <c r="D6" s="11"/>
      <c r="E6" s="1"/>
      <c r="F6" s="11"/>
      <c r="G6" s="1"/>
      <c r="H6" s="11"/>
      <c r="I6" s="1"/>
      <c r="J6" s="11"/>
      <c r="K6" s="29"/>
      <c r="L6" s="29"/>
      <c r="M6" s="10"/>
      <c r="N6" s="25"/>
      <c r="O6" s="22" t="s">
        <v>26</v>
      </c>
      <c r="P6" s="43" t="s">
        <v>25</v>
      </c>
      <c r="Q6" s="43"/>
      <c r="R6" s="43"/>
    </row>
    <row r="7" spans="1:19">
      <c r="B7" s="62"/>
      <c r="C7" s="1"/>
      <c r="D7" s="11"/>
      <c r="E7" s="1"/>
      <c r="F7" s="11"/>
      <c r="G7" s="1"/>
      <c r="H7" s="11"/>
      <c r="I7" s="1"/>
      <c r="J7" s="11"/>
      <c r="K7" s="29"/>
      <c r="L7" s="29"/>
      <c r="M7" s="10"/>
      <c r="N7" s="25"/>
      <c r="O7" s="22" t="s">
        <v>22</v>
      </c>
      <c r="P7" s="43" t="s">
        <v>27</v>
      </c>
      <c r="Q7" s="43"/>
      <c r="R7" s="43"/>
    </row>
    <row r="8" spans="1:19">
      <c r="B8" s="62"/>
      <c r="C8" s="1"/>
      <c r="D8" s="11"/>
      <c r="E8" s="1"/>
      <c r="F8" s="11"/>
      <c r="G8" s="1"/>
      <c r="H8" s="11"/>
      <c r="I8" s="1"/>
      <c r="J8" s="11"/>
      <c r="K8" s="29"/>
      <c r="L8" s="29"/>
      <c r="M8" s="10"/>
      <c r="N8" s="25"/>
      <c r="O8" s="22" t="s">
        <v>28</v>
      </c>
      <c r="P8" s="43" t="s">
        <v>31</v>
      </c>
      <c r="Q8" s="43"/>
      <c r="R8" s="43"/>
    </row>
    <row r="9" spans="1:19" ht="128" customHeight="1">
      <c r="B9" s="62"/>
      <c r="C9" s="1"/>
      <c r="D9" s="11"/>
      <c r="E9" s="1"/>
      <c r="F9" s="11"/>
      <c r="G9" s="1"/>
      <c r="H9" s="11"/>
      <c r="I9" s="1"/>
      <c r="J9" s="11"/>
      <c r="K9" s="29"/>
      <c r="L9" s="29"/>
      <c r="M9" s="10"/>
      <c r="N9" s="25"/>
      <c r="O9" s="23" t="s">
        <v>29</v>
      </c>
      <c r="P9" s="63" t="s">
        <v>30</v>
      </c>
      <c r="Q9" s="63"/>
      <c r="R9" s="63"/>
    </row>
    <row r="10" spans="1:19" ht="16" customHeight="1">
      <c r="B10" s="62"/>
      <c r="C10" s="1"/>
      <c r="D10" s="11"/>
      <c r="E10" s="1"/>
      <c r="F10" s="11"/>
      <c r="G10" s="1"/>
      <c r="H10" s="11"/>
      <c r="I10" s="1"/>
      <c r="J10" s="11"/>
      <c r="K10" s="29"/>
      <c r="L10" s="29"/>
      <c r="M10" s="10"/>
      <c r="O10" s="57" t="s">
        <v>5</v>
      </c>
      <c r="P10" s="57"/>
      <c r="Q10" s="57"/>
      <c r="R10" s="57"/>
      <c r="S10" s="7"/>
    </row>
    <row r="11" spans="1:19" ht="16" customHeight="1">
      <c r="B11" s="62"/>
      <c r="C11" s="1"/>
      <c r="D11" s="11"/>
      <c r="E11" s="1"/>
      <c r="F11" s="11"/>
      <c r="G11" s="1"/>
      <c r="H11" s="11"/>
      <c r="I11" s="1"/>
      <c r="J11" s="11"/>
      <c r="K11" s="29"/>
      <c r="L11" s="29"/>
      <c r="M11" s="10"/>
      <c r="O11" s="56" t="s">
        <v>33</v>
      </c>
      <c r="P11" s="56"/>
      <c r="Q11" s="56"/>
      <c r="R11" s="56"/>
      <c r="S11" s="8"/>
    </row>
    <row r="12" spans="1:19">
      <c r="B12" s="62"/>
      <c r="C12" s="1"/>
      <c r="D12" s="11"/>
      <c r="E12" s="1"/>
      <c r="F12" s="11"/>
      <c r="G12" s="1"/>
      <c r="H12" s="11"/>
      <c r="I12" s="1"/>
      <c r="J12" s="11"/>
      <c r="K12" s="29"/>
      <c r="L12" s="29"/>
      <c r="M12" s="10"/>
      <c r="O12" s="56"/>
      <c r="P12" s="56"/>
      <c r="Q12" s="56"/>
      <c r="R12" s="56"/>
      <c r="S12" s="8"/>
    </row>
    <row r="13" spans="1:19">
      <c r="B13" s="62"/>
      <c r="C13" s="1"/>
      <c r="D13" s="11"/>
      <c r="E13" s="1"/>
      <c r="F13" s="11"/>
      <c r="G13" s="1"/>
      <c r="H13" s="11"/>
      <c r="I13" s="1"/>
      <c r="J13" s="11"/>
      <c r="K13" s="29"/>
      <c r="L13" s="29"/>
      <c r="M13" s="10"/>
      <c r="O13" s="56"/>
      <c r="P13" s="56"/>
      <c r="Q13" s="56"/>
      <c r="R13" s="56"/>
      <c r="S13" s="8"/>
    </row>
    <row r="14" spans="1:19">
      <c r="B14" s="62"/>
      <c r="C14" s="1"/>
      <c r="D14" s="11"/>
      <c r="E14" s="1"/>
      <c r="F14" s="11"/>
      <c r="G14" s="1"/>
      <c r="H14" s="11"/>
      <c r="I14" s="1"/>
      <c r="J14" s="11"/>
      <c r="K14" s="29"/>
      <c r="L14" s="29"/>
      <c r="M14" s="10"/>
      <c r="O14" s="56"/>
      <c r="P14" s="56"/>
      <c r="Q14" s="56"/>
      <c r="R14" s="56"/>
      <c r="S14" s="8"/>
    </row>
    <row r="15" spans="1:19">
      <c r="B15" s="62"/>
      <c r="C15" s="1"/>
      <c r="D15" s="11"/>
      <c r="E15" s="1"/>
      <c r="F15" s="11"/>
      <c r="G15" s="1"/>
      <c r="H15" s="11"/>
      <c r="I15" s="1"/>
      <c r="J15" s="11"/>
      <c r="K15" s="29"/>
      <c r="L15" s="29"/>
      <c r="M15" s="10"/>
      <c r="O15" s="56"/>
      <c r="P15" s="56"/>
      <c r="Q15" s="56"/>
      <c r="R15" s="56"/>
      <c r="S15" s="8"/>
    </row>
    <row r="16" spans="1:19">
      <c r="B16" s="62"/>
      <c r="C16" s="1"/>
      <c r="D16" s="11"/>
      <c r="E16" s="1"/>
      <c r="F16" s="11"/>
      <c r="G16" s="1"/>
      <c r="H16" s="11"/>
      <c r="I16" s="1"/>
      <c r="J16" s="11"/>
      <c r="K16" s="29"/>
      <c r="L16" s="29"/>
      <c r="M16" s="10"/>
      <c r="O16" s="56"/>
      <c r="P16" s="56"/>
      <c r="Q16" s="56"/>
      <c r="R16" s="56"/>
      <c r="S16" s="8"/>
    </row>
    <row r="17" spans="2:19">
      <c r="B17" s="62"/>
      <c r="C17" s="1"/>
      <c r="D17" s="11"/>
      <c r="E17" s="1"/>
      <c r="F17" s="11"/>
      <c r="G17" s="1"/>
      <c r="H17" s="11"/>
      <c r="I17" s="1"/>
      <c r="J17" s="11"/>
      <c r="K17" s="29"/>
      <c r="L17" s="29"/>
      <c r="M17" s="10"/>
      <c r="O17" s="56"/>
      <c r="P17" s="56"/>
      <c r="Q17" s="56"/>
      <c r="R17" s="56"/>
    </row>
    <row r="18" spans="2:19">
      <c r="B18" s="62"/>
      <c r="C18" s="1"/>
      <c r="D18" s="11"/>
      <c r="E18" s="1"/>
      <c r="F18" s="11"/>
      <c r="G18" s="1"/>
      <c r="H18" s="11"/>
      <c r="I18" s="1"/>
      <c r="J18" s="11"/>
      <c r="K18" s="29"/>
      <c r="L18" s="29"/>
      <c r="M18" s="10"/>
      <c r="O18" s="56"/>
      <c r="P18" s="56"/>
      <c r="Q18" s="56"/>
      <c r="R18" s="56"/>
    </row>
    <row r="19" spans="2:19">
      <c r="B19" s="62"/>
      <c r="C19" s="1"/>
      <c r="D19" s="11"/>
      <c r="E19" s="1"/>
      <c r="F19" s="11"/>
      <c r="G19" s="1"/>
      <c r="H19" s="11"/>
      <c r="I19" s="1"/>
      <c r="J19" s="11"/>
      <c r="K19" s="29"/>
      <c r="L19" s="29"/>
      <c r="M19" s="10"/>
      <c r="O19" s="56"/>
      <c r="P19" s="56"/>
      <c r="Q19" s="56"/>
      <c r="R19" s="56"/>
    </row>
    <row r="20" spans="2:19">
      <c r="B20" s="62"/>
      <c r="C20" s="1"/>
      <c r="D20" s="11"/>
      <c r="E20" s="1"/>
      <c r="F20" s="11"/>
      <c r="G20" s="1"/>
      <c r="H20" s="11"/>
      <c r="I20" s="1"/>
      <c r="J20" s="11"/>
      <c r="K20" s="29"/>
      <c r="L20" s="29"/>
      <c r="M20" s="10"/>
      <c r="O20" s="56"/>
      <c r="P20" s="56"/>
      <c r="Q20" s="56"/>
      <c r="R20" s="56"/>
    </row>
    <row r="21" spans="2:19">
      <c r="B21" s="62"/>
      <c r="C21" s="1"/>
      <c r="D21" s="11"/>
      <c r="E21" s="1"/>
      <c r="F21" s="11"/>
      <c r="G21" s="1"/>
      <c r="H21" s="11"/>
      <c r="I21" s="1"/>
      <c r="J21" s="11"/>
      <c r="K21" s="29"/>
      <c r="L21" s="29"/>
      <c r="M21" s="10"/>
      <c r="Q21" s="36">
        <f>COUNTIFS(K33:K100,"&gt;5,5",L33:L100,"&lt;5,5")</f>
        <v>0</v>
      </c>
      <c r="R21" s="2" t="s">
        <v>18</v>
      </c>
    </row>
    <row r="22" spans="2:19">
      <c r="B22" s="62"/>
      <c r="C22" s="1"/>
      <c r="D22" s="11"/>
      <c r="E22" s="1"/>
      <c r="F22" s="11"/>
      <c r="G22" s="1"/>
      <c r="H22" s="11"/>
      <c r="I22" s="1"/>
      <c r="J22" s="11"/>
      <c r="K22" s="29"/>
      <c r="L22" s="29"/>
      <c r="M22" s="10"/>
      <c r="Q22" s="35">
        <f>COUNTIFS(K33:K100,"&gt;5,5",L33:L100,"&gt;5,5")</f>
        <v>0</v>
      </c>
      <c r="R22" s="2" t="s">
        <v>19</v>
      </c>
    </row>
    <row r="23" spans="2:19">
      <c r="B23" s="62"/>
      <c r="C23" s="1"/>
      <c r="D23" s="11"/>
      <c r="E23" s="1"/>
      <c r="F23" s="11"/>
      <c r="G23" s="1"/>
      <c r="H23" s="11"/>
      <c r="I23" s="1"/>
      <c r="J23" s="11"/>
      <c r="K23" s="29"/>
      <c r="L23" s="29"/>
      <c r="M23" s="10"/>
      <c r="Q23" s="37">
        <f>COUNTIFS(K33:K100,"&lt;5,5",L33:L100,"&lt;5,5")</f>
        <v>0</v>
      </c>
      <c r="R23" s="2" t="s">
        <v>20</v>
      </c>
    </row>
    <row r="24" spans="2:19">
      <c r="B24" s="62"/>
      <c r="C24" s="1"/>
      <c r="D24" s="11"/>
      <c r="E24" s="1"/>
      <c r="F24" s="11"/>
      <c r="G24" s="1"/>
      <c r="H24" s="11"/>
      <c r="I24" s="1"/>
      <c r="J24" s="11"/>
      <c r="K24" s="29"/>
      <c r="L24" s="29"/>
      <c r="M24" s="10"/>
      <c r="Q24" s="38">
        <f>COUNTIFS(K33:K100,"&lt;5,5",L33:L100,"&gt;5,5")</f>
        <v>0</v>
      </c>
      <c r="R24" s="2" t="s">
        <v>21</v>
      </c>
    </row>
    <row r="25" spans="2:19">
      <c r="B25" s="62"/>
      <c r="C25" s="1"/>
      <c r="D25" s="11"/>
      <c r="E25" s="1"/>
      <c r="F25" s="11"/>
      <c r="G25" s="1"/>
      <c r="H25" s="11"/>
      <c r="I25" s="1"/>
      <c r="J25" s="11"/>
      <c r="K25" s="29"/>
      <c r="L25" s="29"/>
      <c r="M25" s="10"/>
      <c r="Q25" s="39">
        <f>COUNTIFS(K33:K100,"=5,5",L33:L100,"=5,5")</f>
        <v>0</v>
      </c>
      <c r="R25" s="2" t="s">
        <v>34</v>
      </c>
    </row>
    <row r="26" spans="2:19">
      <c r="B26" s="62"/>
      <c r="C26" s="1"/>
      <c r="D26" s="11"/>
      <c r="E26" s="1"/>
      <c r="F26" s="11"/>
      <c r="G26" s="1"/>
      <c r="H26" s="11"/>
      <c r="I26" s="1"/>
      <c r="J26" s="11"/>
      <c r="K26" s="29"/>
      <c r="L26" s="29"/>
      <c r="M26" s="10"/>
    </row>
    <row r="27" spans="2:19">
      <c r="B27" s="26" t="s">
        <v>13</v>
      </c>
      <c r="C27" s="1"/>
      <c r="D27" s="11"/>
      <c r="E27" s="1"/>
      <c r="F27" s="11"/>
      <c r="G27" s="1"/>
      <c r="H27" s="11"/>
      <c r="I27" s="1"/>
      <c r="J27" s="11"/>
      <c r="K27" s="29"/>
      <c r="L27" s="29"/>
      <c r="M27" s="10"/>
    </row>
    <row r="28" spans="2:19" ht="49" customHeight="1">
      <c r="B28" s="27"/>
      <c r="C28" s="27" t="s">
        <v>13</v>
      </c>
      <c r="D28" s="47" t="s">
        <v>9</v>
      </c>
      <c r="E28" s="47"/>
      <c r="F28" s="47"/>
      <c r="G28" s="47"/>
      <c r="H28" s="47"/>
      <c r="I28" s="47"/>
      <c r="J28" s="47"/>
      <c r="K28" s="47"/>
      <c r="L28" s="47"/>
      <c r="M28" s="28" t="s">
        <v>12</v>
      </c>
      <c r="P28" s="4"/>
      <c r="Q28" s="4"/>
      <c r="R28" s="4"/>
    </row>
    <row r="29" spans="2:19" ht="19.25" customHeight="1">
      <c r="C29" s="3"/>
      <c r="D29" s="12"/>
      <c r="E29" s="3"/>
      <c r="F29" s="12"/>
      <c r="G29" s="3"/>
      <c r="H29" s="12"/>
      <c r="I29" s="3"/>
      <c r="J29" s="12"/>
      <c r="K29" s="30"/>
      <c r="L29" s="61" t="s">
        <v>7</v>
      </c>
      <c r="M29" s="61"/>
      <c r="N29" s="55">
        <f>S29</f>
        <v>9</v>
      </c>
      <c r="O29" s="55"/>
      <c r="P29" s="58" t="s">
        <v>8</v>
      </c>
      <c r="Q29" s="58"/>
      <c r="R29" s="44">
        <f>($N$29*($N$29-1))/2</f>
        <v>36</v>
      </c>
      <c r="S29" s="45">
        <f>COUNTA($B$33:$B$100)</f>
        <v>9</v>
      </c>
    </row>
    <row r="31" spans="2:19">
      <c r="I31" s="4"/>
      <c r="K31" s="31" t="s">
        <v>2</v>
      </c>
      <c r="L31" s="31" t="s">
        <v>3</v>
      </c>
    </row>
    <row r="32" spans="2:19" s="5" customFormat="1">
      <c r="B32" s="48" t="s">
        <v>10</v>
      </c>
      <c r="C32" s="48"/>
      <c r="D32" s="48"/>
      <c r="E32" s="48"/>
      <c r="F32" s="48"/>
      <c r="G32" s="48"/>
      <c r="H32" s="48"/>
      <c r="I32" s="48"/>
      <c r="J32" s="42" t="s">
        <v>17</v>
      </c>
      <c r="K32" s="32" t="s">
        <v>14</v>
      </c>
      <c r="L32" s="32" t="s">
        <v>15</v>
      </c>
      <c r="M32" s="59" t="s">
        <v>16</v>
      </c>
      <c r="N32" s="59"/>
      <c r="O32" s="59"/>
      <c r="P32" s="59"/>
      <c r="Q32" s="59"/>
      <c r="R32" s="59"/>
    </row>
    <row r="33" spans="1:18">
      <c r="A33" s="6">
        <v>1</v>
      </c>
      <c r="B33" s="52" t="s">
        <v>35</v>
      </c>
      <c r="C33" s="52"/>
      <c r="D33" s="52"/>
      <c r="E33" s="52"/>
      <c r="F33" s="50"/>
      <c r="G33" s="50"/>
      <c r="H33" s="49"/>
      <c r="I33" s="50"/>
      <c r="J33" s="40" t="s">
        <v>29</v>
      </c>
      <c r="K33" s="41">
        <v>10</v>
      </c>
      <c r="L33" s="41">
        <v>10</v>
      </c>
      <c r="M33" s="60"/>
      <c r="N33" s="60"/>
      <c r="O33" s="60"/>
      <c r="P33" s="60"/>
      <c r="Q33" s="60"/>
      <c r="R33" s="60"/>
    </row>
    <row r="34" spans="1:18">
      <c r="A34" s="6">
        <v>2</v>
      </c>
      <c r="B34" s="46" t="s">
        <v>36</v>
      </c>
      <c r="C34" s="46"/>
      <c r="D34" s="46"/>
      <c r="E34" s="46"/>
      <c r="F34" s="46"/>
      <c r="G34" s="46"/>
      <c r="H34" s="51"/>
      <c r="I34" s="46"/>
      <c r="J34" s="40" t="s">
        <v>29</v>
      </c>
      <c r="K34" s="41">
        <v>9</v>
      </c>
      <c r="L34" s="41">
        <v>10</v>
      </c>
      <c r="M34" s="54"/>
      <c r="N34" s="54"/>
      <c r="O34" s="54"/>
      <c r="P34" s="54"/>
      <c r="Q34" s="54"/>
      <c r="R34" s="54"/>
    </row>
    <row r="35" spans="1:18">
      <c r="A35" s="6">
        <v>3</v>
      </c>
      <c r="B35" s="46" t="s">
        <v>37</v>
      </c>
      <c r="C35" s="46"/>
      <c r="D35" s="46"/>
      <c r="E35" s="46"/>
      <c r="F35" s="46"/>
      <c r="G35" s="46"/>
      <c r="H35" s="51"/>
      <c r="I35" s="46"/>
      <c r="J35" s="40" t="s">
        <v>28</v>
      </c>
      <c r="K35" s="41">
        <v>8</v>
      </c>
      <c r="L35" s="41">
        <v>9</v>
      </c>
      <c r="M35" s="54"/>
      <c r="N35" s="54"/>
      <c r="O35" s="54"/>
      <c r="P35" s="54"/>
      <c r="Q35" s="54"/>
      <c r="R35" s="54"/>
    </row>
    <row r="36" spans="1:18">
      <c r="A36" s="6">
        <v>4</v>
      </c>
      <c r="B36" s="46" t="s">
        <v>43</v>
      </c>
      <c r="C36" s="46"/>
      <c r="D36" s="46"/>
      <c r="E36" s="46"/>
      <c r="F36" s="46"/>
      <c r="G36" s="46"/>
      <c r="H36" s="51"/>
      <c r="I36" s="46"/>
      <c r="J36" s="40" t="s">
        <v>28</v>
      </c>
      <c r="K36" s="41">
        <v>7</v>
      </c>
      <c r="L36" s="41">
        <v>8</v>
      </c>
      <c r="M36" s="54"/>
      <c r="N36" s="54"/>
      <c r="O36" s="54"/>
      <c r="P36" s="54"/>
      <c r="Q36" s="54"/>
      <c r="R36" s="54"/>
    </row>
    <row r="37" spans="1:18">
      <c r="A37" s="6">
        <v>5</v>
      </c>
      <c r="B37" s="46" t="s">
        <v>38</v>
      </c>
      <c r="C37" s="46"/>
      <c r="D37" s="46"/>
      <c r="E37" s="46"/>
      <c r="F37" s="46"/>
      <c r="G37" s="46"/>
      <c r="H37" s="46"/>
      <c r="I37" s="46"/>
      <c r="J37" s="40" t="s">
        <v>28</v>
      </c>
      <c r="K37" s="41">
        <v>6</v>
      </c>
      <c r="L37" s="41">
        <v>7</v>
      </c>
      <c r="M37" s="54"/>
      <c r="N37" s="54"/>
      <c r="O37" s="54"/>
      <c r="P37" s="54"/>
      <c r="Q37" s="54"/>
      <c r="R37" s="54"/>
    </row>
    <row r="38" spans="1:18">
      <c r="A38" s="6">
        <v>6</v>
      </c>
      <c r="B38" s="46" t="s">
        <v>39</v>
      </c>
      <c r="C38" s="46"/>
      <c r="D38" s="46"/>
      <c r="E38" s="46"/>
      <c r="F38" s="46"/>
      <c r="G38" s="46"/>
      <c r="H38" s="51"/>
      <c r="I38" s="46"/>
      <c r="J38" s="40" t="s">
        <v>28</v>
      </c>
      <c r="K38" s="41">
        <v>6</v>
      </c>
      <c r="L38" s="41">
        <v>6</v>
      </c>
      <c r="M38" s="54"/>
      <c r="N38" s="54"/>
      <c r="O38" s="54"/>
      <c r="P38" s="54"/>
      <c r="Q38" s="54"/>
      <c r="R38" s="54"/>
    </row>
    <row r="39" spans="1:18">
      <c r="A39" s="6">
        <v>7</v>
      </c>
      <c r="B39" s="46" t="s">
        <v>40</v>
      </c>
      <c r="C39" s="46"/>
      <c r="D39" s="46"/>
      <c r="E39" s="46"/>
      <c r="F39" s="46"/>
      <c r="G39" s="46"/>
      <c r="H39" s="46"/>
      <c r="I39" s="46"/>
      <c r="J39" s="40" t="s">
        <v>22</v>
      </c>
      <c r="K39" s="41">
        <v>5</v>
      </c>
      <c r="L39" s="41">
        <v>7</v>
      </c>
      <c r="M39" s="54"/>
      <c r="N39" s="54"/>
      <c r="O39" s="54"/>
      <c r="P39" s="54"/>
      <c r="Q39" s="54"/>
      <c r="R39" s="54"/>
    </row>
    <row r="40" spans="1:18">
      <c r="A40" s="6">
        <v>8</v>
      </c>
      <c r="B40" s="46" t="s">
        <v>41</v>
      </c>
      <c r="C40" s="46"/>
      <c r="D40" s="46"/>
      <c r="E40" s="46"/>
      <c r="F40" s="46"/>
      <c r="G40" s="46"/>
      <c r="H40" s="46"/>
      <c r="I40" s="46"/>
      <c r="J40" s="40" t="s">
        <v>28</v>
      </c>
      <c r="K40" s="41">
        <v>4</v>
      </c>
      <c r="L40" s="41">
        <v>8</v>
      </c>
      <c r="M40" s="54"/>
      <c r="N40" s="54"/>
      <c r="O40" s="54"/>
      <c r="P40" s="54"/>
      <c r="Q40" s="54"/>
      <c r="R40" s="54"/>
    </row>
    <row r="41" spans="1:18">
      <c r="A41" s="6">
        <v>9</v>
      </c>
      <c r="B41" s="46" t="s">
        <v>42</v>
      </c>
      <c r="C41" s="46"/>
      <c r="D41" s="46"/>
      <c r="E41" s="46"/>
      <c r="F41" s="46"/>
      <c r="G41" s="46"/>
      <c r="H41" s="46"/>
      <c r="I41" s="46"/>
      <c r="J41" s="40" t="s">
        <v>28</v>
      </c>
      <c r="K41" s="41">
        <v>4</v>
      </c>
      <c r="L41" s="41">
        <v>8</v>
      </c>
      <c r="M41" s="54"/>
      <c r="N41" s="54"/>
      <c r="O41" s="54"/>
      <c r="P41" s="54"/>
      <c r="Q41" s="54"/>
      <c r="R41" s="54"/>
    </row>
    <row r="42" spans="1:18">
      <c r="A42" s="6">
        <v>10</v>
      </c>
      <c r="B42" s="46"/>
      <c r="C42" s="46"/>
      <c r="D42" s="46"/>
      <c r="E42" s="46"/>
      <c r="F42" s="46"/>
      <c r="G42" s="46"/>
      <c r="H42" s="46"/>
      <c r="I42" s="46"/>
      <c r="J42" s="40"/>
      <c r="K42" s="41"/>
      <c r="L42" s="41"/>
      <c r="M42" s="54"/>
      <c r="N42" s="54"/>
      <c r="O42" s="54"/>
      <c r="P42" s="54"/>
      <c r="Q42" s="54"/>
      <c r="R42" s="54"/>
    </row>
    <row r="43" spans="1:18">
      <c r="A43" s="6">
        <v>11</v>
      </c>
      <c r="B43" s="46"/>
      <c r="C43" s="46"/>
      <c r="D43" s="46"/>
      <c r="E43" s="46"/>
      <c r="F43" s="46"/>
      <c r="G43" s="46"/>
      <c r="H43" s="46"/>
      <c r="I43" s="46"/>
      <c r="J43" s="40"/>
      <c r="K43" s="41"/>
      <c r="L43" s="41"/>
      <c r="M43" s="54"/>
      <c r="N43" s="54" t="str">
        <f t="shared" ref="N43:N97" si="0">IF(K43&lt;&gt;"",IF(L43&lt;&gt;"",K43*L43,""),"")</f>
        <v/>
      </c>
      <c r="O43" s="54"/>
      <c r="P43" s="54"/>
      <c r="Q43" s="54"/>
      <c r="R43" s="54"/>
    </row>
    <row r="44" spans="1:18">
      <c r="A44" s="6">
        <v>12</v>
      </c>
      <c r="B44" s="46"/>
      <c r="C44" s="46"/>
      <c r="D44" s="46"/>
      <c r="E44" s="46"/>
      <c r="F44" s="46"/>
      <c r="G44" s="46"/>
      <c r="H44" s="46"/>
      <c r="I44" s="46"/>
      <c r="J44" s="40"/>
      <c r="K44" s="41"/>
      <c r="L44" s="41"/>
      <c r="M44" s="54"/>
      <c r="N44" s="54" t="str">
        <f t="shared" si="0"/>
        <v/>
      </c>
      <c r="O44" s="54"/>
      <c r="P44" s="54"/>
      <c r="Q44" s="54"/>
      <c r="R44" s="54"/>
    </row>
    <row r="45" spans="1:18">
      <c r="A45" s="6">
        <v>13</v>
      </c>
      <c r="B45" s="46"/>
      <c r="C45" s="46"/>
      <c r="D45" s="46"/>
      <c r="E45" s="46"/>
      <c r="F45" s="46"/>
      <c r="G45" s="46"/>
      <c r="H45" s="46"/>
      <c r="I45" s="46"/>
      <c r="J45" s="40"/>
      <c r="K45" s="41"/>
      <c r="L45" s="41"/>
      <c r="M45" s="54"/>
      <c r="N45" s="54" t="str">
        <f t="shared" si="0"/>
        <v/>
      </c>
      <c r="O45" s="54"/>
      <c r="P45" s="54"/>
      <c r="Q45" s="54"/>
      <c r="R45" s="54"/>
    </row>
    <row r="46" spans="1:18">
      <c r="A46" s="6">
        <v>14</v>
      </c>
      <c r="B46" s="46"/>
      <c r="C46" s="46"/>
      <c r="D46" s="46"/>
      <c r="E46" s="46"/>
      <c r="F46" s="46"/>
      <c r="G46" s="46"/>
      <c r="H46" s="46"/>
      <c r="I46" s="46"/>
      <c r="J46" s="40"/>
      <c r="K46" s="41"/>
      <c r="L46" s="41"/>
      <c r="M46" s="54"/>
      <c r="N46" s="54" t="str">
        <f t="shared" si="0"/>
        <v/>
      </c>
      <c r="O46" s="54"/>
      <c r="P46" s="54"/>
      <c r="Q46" s="54"/>
      <c r="R46" s="54"/>
    </row>
    <row r="47" spans="1:18">
      <c r="A47" s="6">
        <v>15</v>
      </c>
      <c r="B47" s="46"/>
      <c r="C47" s="46"/>
      <c r="D47" s="46"/>
      <c r="E47" s="46"/>
      <c r="F47" s="53"/>
      <c r="G47" s="53"/>
      <c r="H47" s="46"/>
      <c r="I47" s="46"/>
      <c r="J47" s="40"/>
      <c r="K47" s="41"/>
      <c r="L47" s="41"/>
      <c r="M47" s="54"/>
      <c r="N47" s="54" t="str">
        <f t="shared" si="0"/>
        <v/>
      </c>
      <c r="O47" s="54"/>
      <c r="P47" s="54"/>
      <c r="Q47" s="54"/>
      <c r="R47" s="54"/>
    </row>
    <row r="48" spans="1:18">
      <c r="A48" s="6">
        <v>16</v>
      </c>
      <c r="B48" s="46"/>
      <c r="C48" s="46"/>
      <c r="D48" s="46"/>
      <c r="E48" s="46"/>
      <c r="F48" s="46"/>
      <c r="G48" s="46"/>
      <c r="H48" s="46"/>
      <c r="I48" s="46"/>
      <c r="J48" s="40"/>
      <c r="K48" s="41"/>
      <c r="L48" s="41"/>
      <c r="M48" s="54"/>
      <c r="N48" s="54"/>
      <c r="O48" s="54"/>
      <c r="P48" s="54"/>
      <c r="Q48" s="54"/>
      <c r="R48" s="54"/>
    </row>
    <row r="49" spans="1:18">
      <c r="A49" s="6">
        <v>17</v>
      </c>
      <c r="B49" s="46"/>
      <c r="C49" s="46"/>
      <c r="D49" s="46"/>
      <c r="E49" s="46"/>
      <c r="F49" s="46"/>
      <c r="G49" s="46"/>
      <c r="H49" s="46"/>
      <c r="I49" s="46"/>
      <c r="J49" s="40"/>
      <c r="K49" s="41"/>
      <c r="L49" s="41"/>
      <c r="M49" s="54"/>
      <c r="N49" s="54" t="str">
        <f t="shared" si="0"/>
        <v/>
      </c>
      <c r="O49" s="54"/>
      <c r="P49" s="54"/>
      <c r="Q49" s="54"/>
      <c r="R49" s="54"/>
    </row>
    <row r="50" spans="1:18">
      <c r="A50" s="6">
        <v>18</v>
      </c>
      <c r="B50" s="46"/>
      <c r="C50" s="46"/>
      <c r="D50" s="46"/>
      <c r="E50" s="46"/>
      <c r="F50" s="46"/>
      <c r="G50" s="46"/>
      <c r="H50" s="46"/>
      <c r="I50" s="46"/>
      <c r="J50" s="40"/>
      <c r="K50" s="41"/>
      <c r="L50" s="41"/>
      <c r="M50" s="54"/>
      <c r="N50" s="54" t="str">
        <f t="shared" si="0"/>
        <v/>
      </c>
      <c r="O50" s="54"/>
      <c r="P50" s="54"/>
      <c r="Q50" s="54"/>
      <c r="R50" s="54"/>
    </row>
    <row r="51" spans="1:18">
      <c r="A51" s="6">
        <v>19</v>
      </c>
      <c r="B51" s="46"/>
      <c r="C51" s="46"/>
      <c r="D51" s="46"/>
      <c r="E51" s="46"/>
      <c r="F51" s="46"/>
      <c r="G51" s="46"/>
      <c r="H51" s="46"/>
      <c r="I51" s="46"/>
      <c r="J51" s="40"/>
      <c r="K51" s="41"/>
      <c r="L51" s="41"/>
      <c r="M51" s="54"/>
      <c r="N51" s="54" t="str">
        <f t="shared" si="0"/>
        <v/>
      </c>
      <c r="O51" s="54"/>
      <c r="P51" s="54"/>
      <c r="Q51" s="54"/>
      <c r="R51" s="54"/>
    </row>
    <row r="52" spans="1:18">
      <c r="A52" s="6">
        <v>20</v>
      </c>
      <c r="B52" s="46"/>
      <c r="C52" s="46"/>
      <c r="D52" s="46"/>
      <c r="E52" s="46"/>
      <c r="F52" s="46"/>
      <c r="G52" s="46"/>
      <c r="H52" s="46"/>
      <c r="I52" s="46"/>
      <c r="J52" s="40"/>
      <c r="K52" s="41"/>
      <c r="L52" s="41"/>
      <c r="M52" s="54"/>
      <c r="N52" s="54" t="str">
        <f t="shared" si="0"/>
        <v/>
      </c>
      <c r="O52" s="54"/>
      <c r="P52" s="54"/>
      <c r="Q52" s="54"/>
      <c r="R52" s="54"/>
    </row>
    <row r="53" spans="1:18">
      <c r="A53" s="6">
        <v>21</v>
      </c>
      <c r="B53" s="46"/>
      <c r="C53" s="46"/>
      <c r="D53" s="46"/>
      <c r="E53" s="46"/>
      <c r="F53" s="46"/>
      <c r="G53" s="46"/>
      <c r="H53" s="46"/>
      <c r="I53" s="46"/>
      <c r="J53" s="40"/>
      <c r="K53" s="41"/>
      <c r="L53" s="41"/>
      <c r="M53" s="54"/>
      <c r="N53" s="54" t="str">
        <f t="shared" si="0"/>
        <v/>
      </c>
      <c r="O53" s="54"/>
      <c r="P53" s="54"/>
      <c r="Q53" s="54"/>
      <c r="R53" s="54"/>
    </row>
    <row r="54" spans="1:18">
      <c r="A54" s="6">
        <v>22</v>
      </c>
      <c r="B54" s="46"/>
      <c r="C54" s="46"/>
      <c r="D54" s="46"/>
      <c r="E54" s="46"/>
      <c r="F54" s="46"/>
      <c r="G54" s="46"/>
      <c r="H54" s="46"/>
      <c r="I54" s="46"/>
      <c r="J54" s="40"/>
      <c r="K54" s="41"/>
      <c r="L54" s="41"/>
      <c r="M54" s="54"/>
      <c r="N54" s="54" t="str">
        <f t="shared" si="0"/>
        <v/>
      </c>
      <c r="O54" s="54"/>
      <c r="P54" s="54"/>
      <c r="Q54" s="54"/>
      <c r="R54" s="54"/>
    </row>
    <row r="55" spans="1:18">
      <c r="A55" s="6">
        <v>23</v>
      </c>
      <c r="B55" s="46"/>
      <c r="C55" s="46"/>
      <c r="D55" s="46"/>
      <c r="E55" s="46"/>
      <c r="F55" s="46"/>
      <c r="G55" s="46"/>
      <c r="H55" s="46"/>
      <c r="I55" s="46"/>
      <c r="J55" s="40"/>
      <c r="K55" s="41"/>
      <c r="L55" s="41"/>
      <c r="M55" s="54"/>
      <c r="N55" s="54" t="str">
        <f t="shared" si="0"/>
        <v/>
      </c>
      <c r="O55" s="54"/>
      <c r="P55" s="54"/>
      <c r="Q55" s="54"/>
      <c r="R55" s="54"/>
    </row>
    <row r="56" spans="1:18">
      <c r="A56" s="6">
        <v>24</v>
      </c>
      <c r="B56" s="46"/>
      <c r="C56" s="46"/>
      <c r="D56" s="46"/>
      <c r="E56" s="46"/>
      <c r="F56" s="46"/>
      <c r="G56" s="46"/>
      <c r="H56" s="46"/>
      <c r="I56" s="46"/>
      <c r="J56" s="40"/>
      <c r="K56" s="41"/>
      <c r="L56" s="41"/>
      <c r="M56" s="54"/>
      <c r="N56" s="54" t="str">
        <f t="shared" si="0"/>
        <v/>
      </c>
      <c r="O56" s="54"/>
      <c r="P56" s="54"/>
      <c r="Q56" s="54"/>
      <c r="R56" s="54"/>
    </row>
    <row r="57" spans="1:18">
      <c r="A57" s="6">
        <v>25</v>
      </c>
      <c r="B57" s="46"/>
      <c r="C57" s="46"/>
      <c r="D57" s="46"/>
      <c r="E57" s="46"/>
      <c r="F57" s="46"/>
      <c r="G57" s="46"/>
      <c r="H57" s="46"/>
      <c r="I57" s="46"/>
      <c r="J57" s="40"/>
      <c r="K57" s="41"/>
      <c r="L57" s="41"/>
      <c r="M57" s="54"/>
      <c r="N57" s="54" t="str">
        <f t="shared" si="0"/>
        <v/>
      </c>
      <c r="O57" s="54"/>
      <c r="P57" s="54"/>
      <c r="Q57" s="54"/>
      <c r="R57" s="54"/>
    </row>
    <row r="58" spans="1:18">
      <c r="A58" s="6">
        <v>26</v>
      </c>
      <c r="B58" s="46"/>
      <c r="C58" s="46"/>
      <c r="D58" s="46"/>
      <c r="E58" s="46"/>
      <c r="F58" s="46"/>
      <c r="G58" s="46"/>
      <c r="H58" s="46"/>
      <c r="I58" s="46"/>
      <c r="J58" s="40"/>
      <c r="K58" s="41"/>
      <c r="L58" s="41"/>
      <c r="M58" s="54"/>
      <c r="N58" s="54" t="str">
        <f t="shared" si="0"/>
        <v/>
      </c>
      <c r="O58" s="54"/>
      <c r="P58" s="54"/>
      <c r="Q58" s="54"/>
      <c r="R58" s="54"/>
    </row>
    <row r="59" spans="1:18">
      <c r="A59" s="6">
        <v>27</v>
      </c>
      <c r="B59" s="46"/>
      <c r="C59" s="46"/>
      <c r="D59" s="46"/>
      <c r="E59" s="46"/>
      <c r="F59" s="46"/>
      <c r="G59" s="46"/>
      <c r="H59" s="46"/>
      <c r="I59" s="46"/>
      <c r="J59" s="40"/>
      <c r="K59" s="41"/>
      <c r="L59" s="41"/>
      <c r="M59" s="54"/>
      <c r="N59" s="54" t="str">
        <f t="shared" si="0"/>
        <v/>
      </c>
      <c r="O59" s="54"/>
      <c r="P59" s="54"/>
      <c r="Q59" s="54"/>
      <c r="R59" s="54"/>
    </row>
    <row r="60" spans="1:18">
      <c r="A60" s="6">
        <v>28</v>
      </c>
      <c r="B60" s="46"/>
      <c r="C60" s="46"/>
      <c r="D60" s="46"/>
      <c r="E60" s="46"/>
      <c r="F60" s="46"/>
      <c r="G60" s="46"/>
      <c r="H60" s="46"/>
      <c r="I60" s="46"/>
      <c r="J60" s="40"/>
      <c r="K60" s="41"/>
      <c r="L60" s="41"/>
      <c r="M60" s="54"/>
      <c r="N60" s="54" t="str">
        <f t="shared" si="0"/>
        <v/>
      </c>
      <c r="O60" s="54"/>
      <c r="P60" s="54"/>
      <c r="Q60" s="54"/>
      <c r="R60" s="54"/>
    </row>
    <row r="61" spans="1:18">
      <c r="A61" s="6">
        <v>29</v>
      </c>
      <c r="B61" s="46"/>
      <c r="C61" s="46"/>
      <c r="D61" s="46"/>
      <c r="E61" s="46"/>
      <c r="F61" s="46"/>
      <c r="G61" s="46"/>
      <c r="H61" s="46"/>
      <c r="I61" s="46"/>
      <c r="J61" s="40"/>
      <c r="K61" s="41"/>
      <c r="L61" s="41"/>
      <c r="M61" s="54"/>
      <c r="N61" s="54" t="str">
        <f t="shared" si="0"/>
        <v/>
      </c>
      <c r="O61" s="54"/>
      <c r="P61" s="54"/>
      <c r="Q61" s="54"/>
      <c r="R61" s="54"/>
    </row>
    <row r="62" spans="1:18">
      <c r="A62" s="6">
        <v>30</v>
      </c>
      <c r="B62" s="46"/>
      <c r="C62" s="46"/>
      <c r="D62" s="46"/>
      <c r="E62" s="46"/>
      <c r="F62" s="46"/>
      <c r="G62" s="46"/>
      <c r="H62" s="46"/>
      <c r="I62" s="46"/>
      <c r="J62" s="40"/>
      <c r="K62" s="41"/>
      <c r="L62" s="41"/>
      <c r="M62" s="54"/>
      <c r="N62" s="54" t="str">
        <f t="shared" si="0"/>
        <v/>
      </c>
      <c r="O62" s="54"/>
      <c r="P62" s="54"/>
      <c r="Q62" s="54"/>
      <c r="R62" s="54"/>
    </row>
    <row r="63" spans="1:18">
      <c r="A63" s="6">
        <v>31</v>
      </c>
      <c r="B63" s="46"/>
      <c r="C63" s="46"/>
      <c r="D63" s="46"/>
      <c r="E63" s="46"/>
      <c r="F63" s="46"/>
      <c r="G63" s="46"/>
      <c r="H63" s="46"/>
      <c r="I63" s="46"/>
      <c r="J63" s="40"/>
      <c r="K63" s="41"/>
      <c r="L63" s="41"/>
      <c r="M63" s="54"/>
      <c r="N63" s="54" t="str">
        <f t="shared" si="0"/>
        <v/>
      </c>
      <c r="O63" s="54"/>
      <c r="P63" s="54"/>
      <c r="Q63" s="54"/>
      <c r="R63" s="54"/>
    </row>
    <row r="64" spans="1:18">
      <c r="A64" s="6">
        <v>32</v>
      </c>
      <c r="B64" s="46"/>
      <c r="C64" s="46"/>
      <c r="D64" s="46"/>
      <c r="E64" s="46"/>
      <c r="F64" s="46"/>
      <c r="G64" s="46"/>
      <c r="H64" s="46"/>
      <c r="I64" s="46"/>
      <c r="J64" s="40"/>
      <c r="K64" s="41"/>
      <c r="L64" s="41"/>
      <c r="M64" s="54"/>
      <c r="N64" s="54" t="str">
        <f t="shared" si="0"/>
        <v/>
      </c>
      <c r="O64" s="54"/>
      <c r="P64" s="54"/>
      <c r="Q64" s="54"/>
      <c r="R64" s="54"/>
    </row>
    <row r="65" spans="1:18">
      <c r="A65" s="6">
        <v>33</v>
      </c>
      <c r="B65" s="46"/>
      <c r="C65" s="46"/>
      <c r="D65" s="46"/>
      <c r="E65" s="46"/>
      <c r="F65" s="46"/>
      <c r="G65" s="46"/>
      <c r="H65" s="46"/>
      <c r="I65" s="46"/>
      <c r="J65" s="40"/>
      <c r="K65" s="41"/>
      <c r="L65" s="41"/>
      <c r="M65" s="54"/>
      <c r="N65" s="54" t="str">
        <f t="shared" si="0"/>
        <v/>
      </c>
      <c r="O65" s="54"/>
      <c r="P65" s="54"/>
      <c r="Q65" s="54"/>
      <c r="R65" s="54"/>
    </row>
    <row r="66" spans="1:18">
      <c r="A66" s="6">
        <v>34</v>
      </c>
      <c r="B66" s="46"/>
      <c r="C66" s="46"/>
      <c r="D66" s="46"/>
      <c r="E66" s="46"/>
      <c r="F66" s="46"/>
      <c r="G66" s="46"/>
      <c r="H66" s="46"/>
      <c r="I66" s="46"/>
      <c r="J66" s="40"/>
      <c r="K66" s="41"/>
      <c r="L66" s="41"/>
      <c r="M66" s="54"/>
      <c r="N66" s="54" t="str">
        <f t="shared" si="0"/>
        <v/>
      </c>
      <c r="O66" s="54"/>
      <c r="P66" s="54"/>
      <c r="Q66" s="54"/>
      <c r="R66" s="54"/>
    </row>
    <row r="67" spans="1:18">
      <c r="A67" s="6">
        <v>35</v>
      </c>
      <c r="B67" s="46"/>
      <c r="C67" s="46"/>
      <c r="D67" s="46"/>
      <c r="E67" s="46"/>
      <c r="F67" s="46"/>
      <c r="G67" s="46"/>
      <c r="H67" s="46"/>
      <c r="I67" s="46"/>
      <c r="J67" s="40"/>
      <c r="K67" s="41"/>
      <c r="L67" s="41"/>
      <c r="M67" s="54"/>
      <c r="N67" s="54" t="str">
        <f t="shared" si="0"/>
        <v/>
      </c>
      <c r="O67" s="54"/>
      <c r="P67" s="54"/>
      <c r="Q67" s="54"/>
      <c r="R67" s="54"/>
    </row>
    <row r="68" spans="1:18">
      <c r="A68" s="6">
        <v>36</v>
      </c>
      <c r="B68" s="46"/>
      <c r="C68" s="46"/>
      <c r="D68" s="46"/>
      <c r="E68" s="46"/>
      <c r="F68" s="46"/>
      <c r="G68" s="46"/>
      <c r="H68" s="46"/>
      <c r="I68" s="46"/>
      <c r="J68" s="40"/>
      <c r="K68" s="41"/>
      <c r="L68" s="41"/>
      <c r="M68" s="54"/>
      <c r="N68" s="54" t="str">
        <f t="shared" si="0"/>
        <v/>
      </c>
      <c r="O68" s="54"/>
      <c r="P68" s="54"/>
      <c r="Q68" s="54"/>
      <c r="R68" s="54"/>
    </row>
    <row r="69" spans="1:18">
      <c r="A69" s="6">
        <v>37</v>
      </c>
      <c r="B69" s="46"/>
      <c r="C69" s="46"/>
      <c r="D69" s="46"/>
      <c r="E69" s="46"/>
      <c r="F69" s="46"/>
      <c r="G69" s="46"/>
      <c r="H69" s="46"/>
      <c r="I69" s="46"/>
      <c r="J69" s="40"/>
      <c r="K69" s="41"/>
      <c r="L69" s="41"/>
      <c r="M69" s="54"/>
      <c r="N69" s="54" t="str">
        <f t="shared" si="0"/>
        <v/>
      </c>
      <c r="O69" s="54"/>
      <c r="P69" s="54"/>
      <c r="Q69" s="54"/>
      <c r="R69" s="54"/>
    </row>
    <row r="70" spans="1:18">
      <c r="A70" s="6">
        <v>38</v>
      </c>
      <c r="B70" s="46"/>
      <c r="C70" s="46"/>
      <c r="D70" s="46"/>
      <c r="E70" s="46"/>
      <c r="F70" s="46"/>
      <c r="G70" s="46"/>
      <c r="H70" s="46"/>
      <c r="I70" s="46"/>
      <c r="J70" s="40"/>
      <c r="K70" s="41"/>
      <c r="L70" s="41"/>
      <c r="M70" s="54"/>
      <c r="N70" s="54" t="str">
        <f t="shared" si="0"/>
        <v/>
      </c>
      <c r="O70" s="54"/>
      <c r="P70" s="54"/>
      <c r="Q70" s="54"/>
      <c r="R70" s="54"/>
    </row>
    <row r="71" spans="1:18">
      <c r="A71" s="6">
        <v>39</v>
      </c>
      <c r="B71" s="46"/>
      <c r="C71" s="46"/>
      <c r="D71" s="46"/>
      <c r="E71" s="46"/>
      <c r="F71" s="46"/>
      <c r="G71" s="46"/>
      <c r="H71" s="46"/>
      <c r="I71" s="46"/>
      <c r="J71" s="40"/>
      <c r="K71" s="41"/>
      <c r="L71" s="41"/>
      <c r="M71" s="54"/>
      <c r="N71" s="54" t="str">
        <f t="shared" si="0"/>
        <v/>
      </c>
      <c r="O71" s="54"/>
      <c r="P71" s="54"/>
      <c r="Q71" s="54"/>
      <c r="R71" s="54"/>
    </row>
    <row r="72" spans="1:18">
      <c r="A72" s="6">
        <v>40</v>
      </c>
      <c r="B72" s="46"/>
      <c r="C72" s="46"/>
      <c r="D72" s="46"/>
      <c r="E72" s="46"/>
      <c r="F72" s="46"/>
      <c r="G72" s="46"/>
      <c r="H72" s="46"/>
      <c r="I72" s="46"/>
      <c r="J72" s="40"/>
      <c r="K72" s="41"/>
      <c r="L72" s="41"/>
      <c r="M72" s="54"/>
      <c r="N72" s="54" t="str">
        <f t="shared" si="0"/>
        <v/>
      </c>
      <c r="O72" s="54"/>
      <c r="P72" s="54"/>
      <c r="Q72" s="54"/>
      <c r="R72" s="54"/>
    </row>
    <row r="73" spans="1:18">
      <c r="A73" s="6">
        <v>41</v>
      </c>
      <c r="B73" s="46"/>
      <c r="C73" s="46"/>
      <c r="D73" s="46"/>
      <c r="E73" s="46"/>
      <c r="F73" s="46"/>
      <c r="G73" s="46"/>
      <c r="H73" s="46"/>
      <c r="I73" s="46"/>
      <c r="J73" s="40"/>
      <c r="K73" s="41"/>
      <c r="L73" s="41"/>
      <c r="M73" s="54"/>
      <c r="N73" s="54" t="str">
        <f t="shared" si="0"/>
        <v/>
      </c>
      <c r="O73" s="54"/>
      <c r="P73" s="54"/>
      <c r="Q73" s="54"/>
      <c r="R73" s="54"/>
    </row>
    <row r="74" spans="1:18">
      <c r="A74" s="6">
        <v>42</v>
      </c>
      <c r="B74" s="46"/>
      <c r="C74" s="46"/>
      <c r="D74" s="46"/>
      <c r="E74" s="46"/>
      <c r="F74" s="46"/>
      <c r="G74" s="46"/>
      <c r="H74" s="46"/>
      <c r="I74" s="46"/>
      <c r="J74" s="40"/>
      <c r="K74" s="41"/>
      <c r="L74" s="41"/>
      <c r="M74" s="54"/>
      <c r="N74" s="54" t="str">
        <f t="shared" si="0"/>
        <v/>
      </c>
      <c r="O74" s="54"/>
      <c r="P74" s="54"/>
      <c r="Q74" s="54"/>
      <c r="R74" s="54"/>
    </row>
    <row r="75" spans="1:18">
      <c r="A75" s="6">
        <v>43</v>
      </c>
      <c r="B75" s="46"/>
      <c r="C75" s="46"/>
      <c r="D75" s="46"/>
      <c r="E75" s="46"/>
      <c r="F75" s="46"/>
      <c r="G75" s="46"/>
      <c r="H75" s="46"/>
      <c r="I75" s="46"/>
      <c r="J75" s="40"/>
      <c r="K75" s="41"/>
      <c r="L75" s="41"/>
      <c r="M75" s="54"/>
      <c r="N75" s="54" t="str">
        <f t="shared" si="0"/>
        <v/>
      </c>
      <c r="O75" s="54"/>
      <c r="P75" s="54"/>
      <c r="Q75" s="54"/>
      <c r="R75" s="54"/>
    </row>
    <row r="76" spans="1:18">
      <c r="A76" s="6">
        <v>44</v>
      </c>
      <c r="B76" s="46"/>
      <c r="C76" s="46"/>
      <c r="D76" s="46"/>
      <c r="E76" s="46"/>
      <c r="F76" s="46"/>
      <c r="G76" s="46"/>
      <c r="H76" s="46"/>
      <c r="I76" s="46"/>
      <c r="J76" s="40"/>
      <c r="K76" s="41"/>
      <c r="L76" s="41"/>
      <c r="M76" s="54"/>
      <c r="N76" s="54" t="str">
        <f t="shared" si="0"/>
        <v/>
      </c>
      <c r="O76" s="54"/>
      <c r="P76" s="54"/>
      <c r="Q76" s="54"/>
      <c r="R76" s="54"/>
    </row>
    <row r="77" spans="1:18">
      <c r="A77" s="6">
        <v>45</v>
      </c>
      <c r="B77" s="46"/>
      <c r="C77" s="46"/>
      <c r="D77" s="46"/>
      <c r="E77" s="46"/>
      <c r="F77" s="46"/>
      <c r="G77" s="46"/>
      <c r="H77" s="46"/>
      <c r="I77" s="46"/>
      <c r="J77" s="40"/>
      <c r="K77" s="41"/>
      <c r="L77" s="41"/>
      <c r="M77" s="54"/>
      <c r="N77" s="54" t="str">
        <f t="shared" si="0"/>
        <v/>
      </c>
      <c r="O77" s="54"/>
      <c r="P77" s="54"/>
      <c r="Q77" s="54"/>
      <c r="R77" s="54"/>
    </row>
    <row r="78" spans="1:18">
      <c r="A78" s="6">
        <v>46</v>
      </c>
      <c r="B78" s="46"/>
      <c r="C78" s="46"/>
      <c r="D78" s="46"/>
      <c r="E78" s="46"/>
      <c r="F78" s="46"/>
      <c r="G78" s="46"/>
      <c r="H78" s="46"/>
      <c r="I78" s="46"/>
      <c r="J78" s="40"/>
      <c r="K78" s="41"/>
      <c r="L78" s="41"/>
      <c r="M78" s="54"/>
      <c r="N78" s="54" t="str">
        <f t="shared" si="0"/>
        <v/>
      </c>
      <c r="O78" s="54"/>
      <c r="P78" s="54"/>
      <c r="Q78" s="54"/>
      <c r="R78" s="54"/>
    </row>
    <row r="79" spans="1:18">
      <c r="A79" s="6">
        <v>47</v>
      </c>
      <c r="B79" s="46"/>
      <c r="C79" s="46"/>
      <c r="D79" s="46"/>
      <c r="E79" s="46"/>
      <c r="F79" s="46"/>
      <c r="G79" s="46"/>
      <c r="H79" s="46"/>
      <c r="I79" s="46"/>
      <c r="J79" s="40"/>
      <c r="K79" s="41"/>
      <c r="L79" s="41"/>
      <c r="M79" s="54"/>
      <c r="N79" s="54" t="str">
        <f t="shared" si="0"/>
        <v/>
      </c>
      <c r="O79" s="54"/>
      <c r="P79" s="54"/>
      <c r="Q79" s="54"/>
      <c r="R79" s="54"/>
    </row>
    <row r="80" spans="1:18">
      <c r="A80" s="6">
        <v>48</v>
      </c>
      <c r="B80" s="46"/>
      <c r="C80" s="46"/>
      <c r="D80" s="46"/>
      <c r="E80" s="46"/>
      <c r="F80" s="46"/>
      <c r="G80" s="46"/>
      <c r="H80" s="46"/>
      <c r="I80" s="46"/>
      <c r="J80" s="40"/>
      <c r="K80" s="41"/>
      <c r="L80" s="41"/>
      <c r="M80" s="54"/>
      <c r="N80" s="54" t="str">
        <f t="shared" si="0"/>
        <v/>
      </c>
      <c r="O80" s="54"/>
      <c r="P80" s="54"/>
      <c r="Q80" s="54"/>
      <c r="R80" s="54"/>
    </row>
    <row r="81" spans="1:18">
      <c r="A81" s="6">
        <v>49</v>
      </c>
      <c r="B81" s="46"/>
      <c r="C81" s="46"/>
      <c r="D81" s="46"/>
      <c r="E81" s="46"/>
      <c r="F81" s="46"/>
      <c r="G81" s="46"/>
      <c r="H81" s="46"/>
      <c r="I81" s="46"/>
      <c r="J81" s="40"/>
      <c r="K81" s="41"/>
      <c r="L81" s="41"/>
      <c r="M81" s="54"/>
      <c r="N81" s="54" t="str">
        <f t="shared" si="0"/>
        <v/>
      </c>
      <c r="O81" s="54"/>
      <c r="P81" s="54"/>
      <c r="Q81" s="54"/>
      <c r="R81" s="54"/>
    </row>
    <row r="82" spans="1:18">
      <c r="A82" s="6">
        <v>50</v>
      </c>
      <c r="B82" s="46"/>
      <c r="C82" s="46"/>
      <c r="D82" s="46"/>
      <c r="E82" s="46"/>
      <c r="F82" s="46"/>
      <c r="G82" s="46"/>
      <c r="H82" s="46"/>
      <c r="I82" s="46"/>
      <c r="J82" s="40"/>
      <c r="K82" s="41"/>
      <c r="L82" s="41"/>
      <c r="M82" s="54"/>
      <c r="N82" s="54" t="str">
        <f t="shared" si="0"/>
        <v/>
      </c>
      <c r="O82" s="54"/>
      <c r="P82" s="54"/>
      <c r="Q82" s="54"/>
      <c r="R82" s="54"/>
    </row>
    <row r="83" spans="1:18">
      <c r="A83" s="6">
        <v>51</v>
      </c>
      <c r="B83" s="46"/>
      <c r="C83" s="46"/>
      <c r="D83" s="46"/>
      <c r="E83" s="46"/>
      <c r="F83" s="46"/>
      <c r="G83" s="46"/>
      <c r="H83" s="46"/>
      <c r="I83" s="46"/>
      <c r="J83" s="40"/>
      <c r="K83" s="41"/>
      <c r="L83" s="41"/>
      <c r="M83" s="54"/>
      <c r="N83" s="54" t="str">
        <f t="shared" si="0"/>
        <v/>
      </c>
      <c r="O83" s="54"/>
      <c r="P83" s="54"/>
      <c r="Q83" s="54"/>
      <c r="R83" s="54"/>
    </row>
    <row r="84" spans="1:18">
      <c r="A84" s="6">
        <v>52</v>
      </c>
      <c r="B84" s="46"/>
      <c r="C84" s="46"/>
      <c r="D84" s="46"/>
      <c r="E84" s="46"/>
      <c r="F84" s="46"/>
      <c r="G84" s="46"/>
      <c r="H84" s="46"/>
      <c r="I84" s="46"/>
      <c r="J84" s="40"/>
      <c r="K84" s="41"/>
      <c r="L84" s="41"/>
      <c r="M84" s="54"/>
      <c r="N84" s="54" t="str">
        <f t="shared" si="0"/>
        <v/>
      </c>
      <c r="O84" s="54"/>
      <c r="P84" s="54"/>
      <c r="Q84" s="54"/>
      <c r="R84" s="54"/>
    </row>
    <row r="85" spans="1:18">
      <c r="A85" s="6">
        <v>53</v>
      </c>
      <c r="B85" s="46"/>
      <c r="C85" s="46"/>
      <c r="D85" s="46"/>
      <c r="E85" s="46"/>
      <c r="F85" s="46"/>
      <c r="G85" s="46"/>
      <c r="H85" s="46"/>
      <c r="I85" s="46"/>
      <c r="J85" s="40"/>
      <c r="K85" s="41"/>
      <c r="L85" s="41"/>
      <c r="M85" s="54"/>
      <c r="N85" s="54" t="str">
        <f t="shared" si="0"/>
        <v/>
      </c>
      <c r="O85" s="54"/>
      <c r="P85" s="54"/>
      <c r="Q85" s="54"/>
      <c r="R85" s="54"/>
    </row>
    <row r="86" spans="1:18">
      <c r="A86" s="6">
        <v>54</v>
      </c>
      <c r="B86" s="46"/>
      <c r="C86" s="46"/>
      <c r="D86" s="46"/>
      <c r="E86" s="46"/>
      <c r="F86" s="46"/>
      <c r="G86" s="46"/>
      <c r="H86" s="46"/>
      <c r="I86" s="46"/>
      <c r="J86" s="40"/>
      <c r="K86" s="41"/>
      <c r="L86" s="41"/>
      <c r="M86" s="54"/>
      <c r="N86" s="54" t="str">
        <f t="shared" si="0"/>
        <v/>
      </c>
      <c r="O86" s="54"/>
      <c r="P86" s="54"/>
      <c r="Q86" s="54"/>
      <c r="R86" s="54"/>
    </row>
    <row r="87" spans="1:18">
      <c r="A87" s="6">
        <v>55</v>
      </c>
      <c r="B87" s="46"/>
      <c r="C87" s="46"/>
      <c r="D87" s="46"/>
      <c r="E87" s="46"/>
      <c r="F87" s="46"/>
      <c r="G87" s="46"/>
      <c r="H87" s="46"/>
      <c r="I87" s="46"/>
      <c r="J87" s="40"/>
      <c r="K87" s="41"/>
      <c r="L87" s="41"/>
      <c r="M87" s="54"/>
      <c r="N87" s="54" t="str">
        <f t="shared" si="0"/>
        <v/>
      </c>
      <c r="O87" s="54"/>
      <c r="P87" s="54"/>
      <c r="Q87" s="54"/>
      <c r="R87" s="54"/>
    </row>
    <row r="88" spans="1:18">
      <c r="A88" s="6">
        <v>56</v>
      </c>
      <c r="B88" s="46"/>
      <c r="C88" s="46"/>
      <c r="D88" s="46"/>
      <c r="E88" s="46"/>
      <c r="F88" s="46"/>
      <c r="G88" s="46"/>
      <c r="H88" s="46"/>
      <c r="I88" s="46"/>
      <c r="J88" s="40"/>
      <c r="K88" s="41"/>
      <c r="L88" s="41"/>
      <c r="M88" s="54"/>
      <c r="N88" s="54" t="str">
        <f t="shared" si="0"/>
        <v/>
      </c>
      <c r="O88" s="54"/>
      <c r="P88" s="54"/>
      <c r="Q88" s="54"/>
      <c r="R88" s="54"/>
    </row>
    <row r="89" spans="1:18">
      <c r="A89" s="6">
        <v>57</v>
      </c>
      <c r="B89" s="46"/>
      <c r="C89" s="46"/>
      <c r="D89" s="46"/>
      <c r="E89" s="46"/>
      <c r="F89" s="46"/>
      <c r="G89" s="46"/>
      <c r="H89" s="46"/>
      <c r="I89" s="46"/>
      <c r="J89" s="40"/>
      <c r="K89" s="41"/>
      <c r="L89" s="41"/>
      <c r="M89" s="54"/>
      <c r="N89" s="54" t="str">
        <f t="shared" si="0"/>
        <v/>
      </c>
      <c r="O89" s="54"/>
      <c r="P89" s="54"/>
      <c r="Q89" s="54"/>
      <c r="R89" s="54"/>
    </row>
    <row r="90" spans="1:18">
      <c r="A90" s="6">
        <v>58</v>
      </c>
      <c r="B90" s="46"/>
      <c r="C90" s="46"/>
      <c r="D90" s="46"/>
      <c r="E90" s="46"/>
      <c r="F90" s="46"/>
      <c r="G90" s="46"/>
      <c r="H90" s="46"/>
      <c r="I90" s="46"/>
      <c r="J90" s="40"/>
      <c r="K90" s="41"/>
      <c r="L90" s="41"/>
      <c r="M90" s="54"/>
      <c r="N90" s="54" t="str">
        <f t="shared" si="0"/>
        <v/>
      </c>
      <c r="O90" s="54"/>
      <c r="P90" s="54"/>
      <c r="Q90" s="54"/>
      <c r="R90" s="54"/>
    </row>
    <row r="91" spans="1:18">
      <c r="A91" s="6">
        <v>59</v>
      </c>
      <c r="B91" s="46"/>
      <c r="C91" s="46"/>
      <c r="D91" s="46"/>
      <c r="E91" s="46"/>
      <c r="F91" s="46"/>
      <c r="G91" s="46"/>
      <c r="H91" s="46"/>
      <c r="I91" s="46"/>
      <c r="J91" s="40"/>
      <c r="K91" s="41"/>
      <c r="L91" s="41"/>
      <c r="M91" s="54"/>
      <c r="N91" s="54" t="str">
        <f t="shared" si="0"/>
        <v/>
      </c>
      <c r="O91" s="54"/>
      <c r="P91" s="54"/>
      <c r="Q91" s="54"/>
      <c r="R91" s="54"/>
    </row>
    <row r="92" spans="1:18">
      <c r="A92" s="6">
        <v>60</v>
      </c>
      <c r="B92" s="46"/>
      <c r="C92" s="46"/>
      <c r="D92" s="46"/>
      <c r="E92" s="46"/>
      <c r="F92" s="46"/>
      <c r="G92" s="46"/>
      <c r="H92" s="46"/>
      <c r="I92" s="46"/>
      <c r="J92" s="40"/>
      <c r="K92" s="41"/>
      <c r="L92" s="41"/>
      <c r="M92" s="54"/>
      <c r="N92" s="54" t="str">
        <f t="shared" si="0"/>
        <v/>
      </c>
      <c r="O92" s="54"/>
      <c r="P92" s="54"/>
      <c r="Q92" s="54"/>
      <c r="R92" s="54"/>
    </row>
    <row r="93" spans="1:18">
      <c r="A93" s="6">
        <v>61</v>
      </c>
      <c r="B93" s="46"/>
      <c r="C93" s="46"/>
      <c r="D93" s="46"/>
      <c r="E93" s="46"/>
      <c r="F93" s="46"/>
      <c r="G93" s="46"/>
      <c r="H93" s="46"/>
      <c r="I93" s="46"/>
      <c r="J93" s="40"/>
      <c r="K93" s="41"/>
      <c r="L93" s="41"/>
      <c r="M93" s="54"/>
      <c r="N93" s="54" t="str">
        <f t="shared" si="0"/>
        <v/>
      </c>
      <c r="O93" s="54"/>
      <c r="P93" s="54"/>
      <c r="Q93" s="54"/>
      <c r="R93" s="54"/>
    </row>
    <row r="94" spans="1:18">
      <c r="A94" s="6">
        <v>62</v>
      </c>
      <c r="B94" s="46"/>
      <c r="C94" s="46"/>
      <c r="D94" s="46"/>
      <c r="E94" s="46"/>
      <c r="F94" s="46"/>
      <c r="G94" s="46"/>
      <c r="H94" s="46"/>
      <c r="I94" s="46"/>
      <c r="J94" s="40"/>
      <c r="K94" s="41"/>
      <c r="L94" s="41"/>
      <c r="M94" s="54"/>
      <c r="N94" s="54" t="str">
        <f t="shared" si="0"/>
        <v/>
      </c>
      <c r="O94" s="54"/>
      <c r="P94" s="54"/>
      <c r="Q94" s="54"/>
      <c r="R94" s="54"/>
    </row>
    <row r="95" spans="1:18">
      <c r="A95" s="6">
        <v>63</v>
      </c>
      <c r="B95" s="46"/>
      <c r="C95" s="46"/>
      <c r="D95" s="46"/>
      <c r="E95" s="46"/>
      <c r="F95" s="46"/>
      <c r="G95" s="46"/>
      <c r="H95" s="46"/>
      <c r="I95" s="46"/>
      <c r="J95" s="40"/>
      <c r="K95" s="41"/>
      <c r="L95" s="41"/>
      <c r="M95" s="54"/>
      <c r="N95" s="54" t="str">
        <f t="shared" si="0"/>
        <v/>
      </c>
      <c r="O95" s="54"/>
      <c r="P95" s="54"/>
      <c r="Q95" s="54"/>
      <c r="R95" s="54"/>
    </row>
    <row r="96" spans="1:18">
      <c r="A96" s="6">
        <v>64</v>
      </c>
      <c r="B96" s="46"/>
      <c r="C96" s="46"/>
      <c r="D96" s="46"/>
      <c r="E96" s="46"/>
      <c r="F96" s="46"/>
      <c r="G96" s="46"/>
      <c r="H96" s="46"/>
      <c r="I96" s="46"/>
      <c r="J96" s="40"/>
      <c r="K96" s="41"/>
      <c r="L96" s="41"/>
      <c r="M96" s="54"/>
      <c r="N96" s="54" t="str">
        <f t="shared" si="0"/>
        <v/>
      </c>
      <c r="O96" s="54"/>
      <c r="P96" s="54"/>
      <c r="Q96" s="54"/>
      <c r="R96" s="54"/>
    </row>
    <row r="97" spans="1:18">
      <c r="A97" s="6">
        <v>65</v>
      </c>
      <c r="B97" s="46"/>
      <c r="C97" s="46"/>
      <c r="D97" s="46"/>
      <c r="E97" s="46"/>
      <c r="F97" s="46"/>
      <c r="G97" s="46"/>
      <c r="H97" s="46"/>
      <c r="I97" s="46"/>
      <c r="J97" s="40"/>
      <c r="K97" s="41"/>
      <c r="L97" s="41"/>
      <c r="M97" s="54"/>
      <c r="N97" s="54" t="str">
        <f t="shared" si="0"/>
        <v/>
      </c>
      <c r="O97" s="54"/>
      <c r="P97" s="54"/>
      <c r="Q97" s="54"/>
      <c r="R97" s="54"/>
    </row>
    <row r="98" spans="1:18">
      <c r="A98" s="6">
        <v>66</v>
      </c>
      <c r="B98" s="46"/>
      <c r="C98" s="46"/>
      <c r="D98" s="46"/>
      <c r="E98" s="46"/>
      <c r="F98" s="46"/>
      <c r="G98" s="46"/>
      <c r="H98" s="46"/>
      <c r="I98" s="46"/>
      <c r="J98" s="40"/>
      <c r="K98" s="41"/>
      <c r="L98" s="41"/>
      <c r="M98" s="54"/>
      <c r="N98" s="54" t="str">
        <f t="shared" ref="N98:N100" si="1">IF(K98&lt;&gt;"",IF(L98&lt;&gt;"",K98*L98,""),"")</f>
        <v/>
      </c>
      <c r="O98" s="54"/>
      <c r="P98" s="54"/>
      <c r="Q98" s="54"/>
      <c r="R98" s="54"/>
    </row>
    <row r="99" spans="1:18">
      <c r="A99" s="6">
        <v>67</v>
      </c>
      <c r="B99" s="46"/>
      <c r="C99" s="46"/>
      <c r="D99" s="46"/>
      <c r="E99" s="46"/>
      <c r="F99" s="46"/>
      <c r="G99" s="46"/>
      <c r="H99" s="46"/>
      <c r="I99" s="46"/>
      <c r="J99" s="40"/>
      <c r="K99" s="41"/>
      <c r="L99" s="41"/>
      <c r="M99" s="54"/>
      <c r="N99" s="54" t="str">
        <f t="shared" si="1"/>
        <v/>
      </c>
      <c r="O99" s="54"/>
      <c r="P99" s="54"/>
      <c r="Q99" s="54"/>
      <c r="R99" s="54"/>
    </row>
    <row r="100" spans="1:18">
      <c r="A100" s="6">
        <v>68</v>
      </c>
      <c r="B100" s="46"/>
      <c r="C100" s="46"/>
      <c r="D100" s="46"/>
      <c r="E100" s="46"/>
      <c r="F100" s="46"/>
      <c r="G100" s="46"/>
      <c r="H100" s="46"/>
      <c r="I100" s="46"/>
      <c r="J100" s="40"/>
      <c r="K100" s="41"/>
      <c r="L100" s="41"/>
      <c r="M100" s="54"/>
      <c r="N100" s="54" t="str">
        <f t="shared" si="1"/>
        <v/>
      </c>
      <c r="O100" s="54"/>
      <c r="P100" s="54"/>
      <c r="Q100" s="54"/>
      <c r="R100" s="54"/>
    </row>
    <row r="101" spans="1:18" ht="12" customHeight="1">
      <c r="A101" s="14"/>
      <c r="B101" s="15"/>
      <c r="C101" s="14"/>
      <c r="D101" s="15"/>
      <c r="E101" s="14"/>
      <c r="F101" s="15"/>
      <c r="G101" s="14"/>
      <c r="H101" s="15"/>
      <c r="I101" s="14"/>
      <c r="J101" s="15"/>
      <c r="K101" s="33"/>
      <c r="L101" s="33"/>
      <c r="M101" s="16"/>
      <c r="N101" s="21" t="str">
        <f t="shared" ref="N101" si="2">IF(L101&lt;&gt;"",L101*M101,"")</f>
        <v/>
      </c>
      <c r="O101" s="24"/>
      <c r="P101" s="14"/>
      <c r="Q101" s="14"/>
      <c r="R101" s="14"/>
    </row>
  </sheetData>
  <mergeCells count="286">
    <mergeCell ref="M81:R81"/>
    <mergeCell ref="L29:M29"/>
    <mergeCell ref="B5:B26"/>
    <mergeCell ref="P9:R9"/>
    <mergeCell ref="A1:N2"/>
    <mergeCell ref="O1:R2"/>
    <mergeCell ref="O4:R4"/>
    <mergeCell ref="M92:R92"/>
    <mergeCell ref="M93:R93"/>
    <mergeCell ref="M62:R62"/>
    <mergeCell ref="M63:R63"/>
    <mergeCell ref="M64:R64"/>
    <mergeCell ref="M65:R65"/>
    <mergeCell ref="M66:R66"/>
    <mergeCell ref="M67:R67"/>
    <mergeCell ref="M68:R68"/>
    <mergeCell ref="M69:R69"/>
    <mergeCell ref="M70:R70"/>
    <mergeCell ref="M71:R71"/>
    <mergeCell ref="M52:R52"/>
    <mergeCell ref="M53:R53"/>
    <mergeCell ref="M54:R54"/>
    <mergeCell ref="M55:R55"/>
    <mergeCell ref="M56:R56"/>
    <mergeCell ref="M72:R72"/>
    <mergeCell ref="M73:R73"/>
    <mergeCell ref="M74:R74"/>
    <mergeCell ref="M75:R75"/>
    <mergeCell ref="M76:R76"/>
    <mergeCell ref="M77:R77"/>
    <mergeCell ref="M78:R78"/>
    <mergeCell ref="M79:R79"/>
    <mergeCell ref="M80:R80"/>
    <mergeCell ref="M98:R98"/>
    <mergeCell ref="M99:R99"/>
    <mergeCell ref="M100:R100"/>
    <mergeCell ref="M82:R82"/>
    <mergeCell ref="M83:R83"/>
    <mergeCell ref="M84:R84"/>
    <mergeCell ref="M85:R85"/>
    <mergeCell ref="M86:R86"/>
    <mergeCell ref="M87:R87"/>
    <mergeCell ref="M88:R88"/>
    <mergeCell ref="M89:R89"/>
    <mergeCell ref="M90:R90"/>
    <mergeCell ref="M91:R91"/>
    <mergeCell ref="M95:R95"/>
    <mergeCell ref="M96:R96"/>
    <mergeCell ref="M97:R97"/>
    <mergeCell ref="M94:R94"/>
    <mergeCell ref="M57:R57"/>
    <mergeCell ref="M58:R58"/>
    <mergeCell ref="M59:R59"/>
    <mergeCell ref="M60:R60"/>
    <mergeCell ref="M61:R61"/>
    <mergeCell ref="N29:O29"/>
    <mergeCell ref="O11:R20"/>
    <mergeCell ref="O10:R10"/>
    <mergeCell ref="P29:Q29"/>
    <mergeCell ref="M51:R51"/>
    <mergeCell ref="M32:R32"/>
    <mergeCell ref="M33:R33"/>
    <mergeCell ref="M34:R34"/>
    <mergeCell ref="M35:R35"/>
    <mergeCell ref="M36:R36"/>
    <mergeCell ref="M37:R37"/>
    <mergeCell ref="M38:R38"/>
    <mergeCell ref="M39:R39"/>
    <mergeCell ref="M40:R40"/>
    <mergeCell ref="M41:R41"/>
    <mergeCell ref="M42:R42"/>
    <mergeCell ref="M43:R43"/>
    <mergeCell ref="M44:R44"/>
    <mergeCell ref="M45:R45"/>
    <mergeCell ref="M46:R46"/>
    <mergeCell ref="M47:R47"/>
    <mergeCell ref="M48:R48"/>
    <mergeCell ref="M49:R49"/>
    <mergeCell ref="M50:R50"/>
    <mergeCell ref="H100:I100"/>
    <mergeCell ref="H95:I95"/>
    <mergeCell ref="H96:I96"/>
    <mergeCell ref="H97:I97"/>
    <mergeCell ref="H98:I98"/>
    <mergeCell ref="H99:I99"/>
    <mergeCell ref="H90:I90"/>
    <mergeCell ref="H91:I91"/>
    <mergeCell ref="H92:I92"/>
    <mergeCell ref="H93:I93"/>
    <mergeCell ref="H94:I94"/>
    <mergeCell ref="H85:I85"/>
    <mergeCell ref="H86:I86"/>
    <mergeCell ref="H87:I87"/>
    <mergeCell ref="H88:I88"/>
    <mergeCell ref="H89:I89"/>
    <mergeCell ref="H80:I80"/>
    <mergeCell ref="H81:I81"/>
    <mergeCell ref="H82:I82"/>
    <mergeCell ref="H83:I83"/>
    <mergeCell ref="H84:I84"/>
    <mergeCell ref="H76:I76"/>
    <mergeCell ref="H77:I77"/>
    <mergeCell ref="H78:I78"/>
    <mergeCell ref="H79:I79"/>
    <mergeCell ref="H70:I70"/>
    <mergeCell ref="H71:I71"/>
    <mergeCell ref="H72:I72"/>
    <mergeCell ref="H73:I73"/>
    <mergeCell ref="H74:I74"/>
    <mergeCell ref="H42:I42"/>
    <mergeCell ref="H43:I43"/>
    <mergeCell ref="H44:I44"/>
    <mergeCell ref="H55:I55"/>
    <mergeCell ref="H56:I56"/>
    <mergeCell ref="H57:I57"/>
    <mergeCell ref="H58:I58"/>
    <mergeCell ref="H59:I59"/>
    <mergeCell ref="H50:I50"/>
    <mergeCell ref="H51:I51"/>
    <mergeCell ref="H52:I52"/>
    <mergeCell ref="H53:I53"/>
    <mergeCell ref="H54:I54"/>
    <mergeCell ref="F71:G71"/>
    <mergeCell ref="F72:G72"/>
    <mergeCell ref="F73:G73"/>
    <mergeCell ref="F74:G74"/>
    <mergeCell ref="F75:G75"/>
    <mergeCell ref="H45:I45"/>
    <mergeCell ref="H46:I46"/>
    <mergeCell ref="H47:I47"/>
    <mergeCell ref="H48:I48"/>
    <mergeCell ref="H49:I49"/>
    <mergeCell ref="H65:I65"/>
    <mergeCell ref="H66:I66"/>
    <mergeCell ref="H67:I67"/>
    <mergeCell ref="H68:I68"/>
    <mergeCell ref="H69:I69"/>
    <mergeCell ref="H60:I60"/>
    <mergeCell ref="H61:I61"/>
    <mergeCell ref="H62:I62"/>
    <mergeCell ref="H63:I63"/>
    <mergeCell ref="H64:I64"/>
    <mergeCell ref="H75:I75"/>
    <mergeCell ref="F66:G66"/>
    <mergeCell ref="F67:G67"/>
    <mergeCell ref="F68:G68"/>
    <mergeCell ref="F81:G81"/>
    <mergeCell ref="F82:G82"/>
    <mergeCell ref="F83:G83"/>
    <mergeCell ref="F84:G84"/>
    <mergeCell ref="F85:G85"/>
    <mergeCell ref="F76:G76"/>
    <mergeCell ref="F77:G77"/>
    <mergeCell ref="F78:G78"/>
    <mergeCell ref="F79:G79"/>
    <mergeCell ref="F80:G80"/>
    <mergeCell ref="F100:G100"/>
    <mergeCell ref="F91:G91"/>
    <mergeCell ref="F92:G92"/>
    <mergeCell ref="F93:G93"/>
    <mergeCell ref="F94:G94"/>
    <mergeCell ref="F95:G95"/>
    <mergeCell ref="F86:G86"/>
    <mergeCell ref="F87:G87"/>
    <mergeCell ref="F88:G88"/>
    <mergeCell ref="F89:G89"/>
    <mergeCell ref="F90:G90"/>
    <mergeCell ref="F96:G96"/>
    <mergeCell ref="F97:G97"/>
    <mergeCell ref="F98:G98"/>
    <mergeCell ref="F99:G99"/>
    <mergeCell ref="F69:G69"/>
    <mergeCell ref="F70:G70"/>
    <mergeCell ref="F61:G61"/>
    <mergeCell ref="F62:G62"/>
    <mergeCell ref="F63:G63"/>
    <mergeCell ref="F64:G64"/>
    <mergeCell ref="F65:G65"/>
    <mergeCell ref="F56:G56"/>
    <mergeCell ref="F57:G57"/>
    <mergeCell ref="F58:G58"/>
    <mergeCell ref="F59:G59"/>
    <mergeCell ref="F60:G60"/>
    <mergeCell ref="B93:E93"/>
    <mergeCell ref="B94:E94"/>
    <mergeCell ref="F32:G32"/>
    <mergeCell ref="F33:G33"/>
    <mergeCell ref="F34:G34"/>
    <mergeCell ref="F35:G35"/>
    <mergeCell ref="F36:G36"/>
    <mergeCell ref="F37:G37"/>
    <mergeCell ref="F38:G38"/>
    <mergeCell ref="F39:G39"/>
    <mergeCell ref="F40:G40"/>
    <mergeCell ref="F41:G41"/>
    <mergeCell ref="F43:G43"/>
    <mergeCell ref="F44:G44"/>
    <mergeCell ref="F45:G45"/>
    <mergeCell ref="F51:G51"/>
    <mergeCell ref="F52:G52"/>
    <mergeCell ref="F53:G53"/>
    <mergeCell ref="F54:G54"/>
    <mergeCell ref="F55:G55"/>
    <mergeCell ref="F46:G46"/>
    <mergeCell ref="F47:G47"/>
    <mergeCell ref="F48:G48"/>
    <mergeCell ref="B84:E84"/>
    <mergeCell ref="B85:E85"/>
    <mergeCell ref="B86:E86"/>
    <mergeCell ref="B87:E87"/>
    <mergeCell ref="B88:E88"/>
    <mergeCell ref="B89:E89"/>
    <mergeCell ref="B90:E90"/>
    <mergeCell ref="B91:E91"/>
    <mergeCell ref="B92:E92"/>
    <mergeCell ref="B75:E75"/>
    <mergeCell ref="B76:E76"/>
    <mergeCell ref="B77:E77"/>
    <mergeCell ref="B78:E78"/>
    <mergeCell ref="B79:E79"/>
    <mergeCell ref="B80:E80"/>
    <mergeCell ref="B81:E81"/>
    <mergeCell ref="B82:E82"/>
    <mergeCell ref="B83:E83"/>
    <mergeCell ref="B66:E66"/>
    <mergeCell ref="B67:E67"/>
    <mergeCell ref="B68:E68"/>
    <mergeCell ref="B69:E69"/>
    <mergeCell ref="B70:E70"/>
    <mergeCell ref="B71:E71"/>
    <mergeCell ref="B72:E72"/>
    <mergeCell ref="B73:E73"/>
    <mergeCell ref="B74:E74"/>
    <mergeCell ref="B57:E57"/>
    <mergeCell ref="B58:E58"/>
    <mergeCell ref="B59:E59"/>
    <mergeCell ref="B60:E60"/>
    <mergeCell ref="B61:E61"/>
    <mergeCell ref="B62:E62"/>
    <mergeCell ref="B63:E63"/>
    <mergeCell ref="B64:E64"/>
    <mergeCell ref="B65:E65"/>
    <mergeCell ref="B39:E39"/>
    <mergeCell ref="B40:E40"/>
    <mergeCell ref="B44:E44"/>
    <mergeCell ref="B41:E41"/>
    <mergeCell ref="B43:E43"/>
    <mergeCell ref="B53:E53"/>
    <mergeCell ref="B54:E54"/>
    <mergeCell ref="B55:E55"/>
    <mergeCell ref="B56:E56"/>
    <mergeCell ref="B46:E46"/>
    <mergeCell ref="B45:E45"/>
    <mergeCell ref="B47:E47"/>
    <mergeCell ref="B48:E48"/>
    <mergeCell ref="B49:E49"/>
    <mergeCell ref="B50:E50"/>
    <mergeCell ref="B51:E51"/>
    <mergeCell ref="B52:E52"/>
    <mergeCell ref="B42:G42"/>
    <mergeCell ref="F49:G49"/>
    <mergeCell ref="F50:G50"/>
    <mergeCell ref="B95:E95"/>
    <mergeCell ref="B96:E96"/>
    <mergeCell ref="B97:E97"/>
    <mergeCell ref="B98:E98"/>
    <mergeCell ref="B99:E99"/>
    <mergeCell ref="B100:E100"/>
    <mergeCell ref="B36:E36"/>
    <mergeCell ref="B37:E37"/>
    <mergeCell ref="D28:L28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B33:E33"/>
    <mergeCell ref="B34:E34"/>
    <mergeCell ref="B32:E32"/>
    <mergeCell ref="B35:E35"/>
    <mergeCell ref="B38:E38"/>
  </mergeCells>
  <phoneticPr fontId="3" type="noConversion"/>
  <conditionalFormatting sqref="K33:K100">
    <cfRule type="expression" dxfId="0" priority="2">
      <formula>(COUNTIF(K$33:$K$100,K33)-1)&gt;0</formula>
    </cfRule>
  </conditionalFormatting>
  <dataValidations count="2">
    <dataValidation type="decimal" allowBlank="1" showInputMessage="1" showErrorMessage="1" sqref="K33:L100 M43:M100" xr:uid="{00000000-0002-0000-0000-000000000000}">
      <formula1>1</formula1>
      <formula2>10</formula2>
    </dataValidation>
    <dataValidation type="list" allowBlank="1" showInputMessage="1" showErrorMessage="1" sqref="J33:J100" xr:uid="{00000000-0002-0000-0000-000001000000}">
      <formula1>$O$5:$O$9</formula1>
    </dataValidation>
  </dataValidations>
  <pageMargins left="0.70000000000000007" right="0.70000000000000007" top="0.75000000000000011" bottom="0.75000000000000011" header="0.30000000000000004" footer="0.30000000000000004"/>
  <pageSetup paperSize="8" scale="7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B3" sqref="B3"/>
    </sheetView>
  </sheetViews>
  <sheetFormatPr baseColWidth="10" defaultColWidth="8.83203125" defaultRowHeight="16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3:B13"/>
  <sheetViews>
    <sheetView workbookViewId="0">
      <selection activeCell="B4" sqref="B4"/>
    </sheetView>
  </sheetViews>
  <sheetFormatPr baseColWidth="10" defaultColWidth="11.5" defaultRowHeight="16"/>
  <cols>
    <col min="1" max="2" width="21.83203125" bestFit="1" customWidth="1"/>
  </cols>
  <sheetData>
    <row r="3" spans="1:2">
      <c r="A3" t="s">
        <v>0</v>
      </c>
      <c r="B3" t="s">
        <v>1</v>
      </c>
    </row>
    <row r="4" spans="1:2">
      <c r="A4" s="17">
        <v>1</v>
      </c>
      <c r="B4">
        <v>1</v>
      </c>
    </row>
    <row r="5" spans="1:2">
      <c r="A5" s="17">
        <v>2</v>
      </c>
      <c r="B5">
        <v>2</v>
      </c>
    </row>
    <row r="6" spans="1:2">
      <c r="A6" s="17">
        <v>3</v>
      </c>
      <c r="B6">
        <v>3</v>
      </c>
    </row>
    <row r="7" spans="1:2">
      <c r="A7" s="17">
        <v>4</v>
      </c>
      <c r="B7">
        <v>4</v>
      </c>
    </row>
    <row r="8" spans="1:2">
      <c r="A8" s="18">
        <v>5.48</v>
      </c>
      <c r="B8">
        <v>5</v>
      </c>
    </row>
    <row r="9" spans="1:2">
      <c r="A9" s="17">
        <v>6</v>
      </c>
    </row>
    <row r="10" spans="1:2">
      <c r="A10" s="17">
        <v>7</v>
      </c>
    </row>
    <row r="11" spans="1:2">
      <c r="A11" s="17">
        <v>8</v>
      </c>
    </row>
    <row r="12" spans="1:2">
      <c r="A12" s="17">
        <v>9</v>
      </c>
    </row>
    <row r="13" spans="1:2">
      <c r="A13" s="17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Matrix</vt:lpstr>
      <vt:lpstr>Planilha1</vt:lpstr>
      <vt:lpstr>Listas</vt:lpstr>
      <vt:lpstr>Matrix!Print_Area</vt:lpstr>
      <vt:lpstr>Matrix!Print_Titles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Microsoft Office</dc:creator>
  <cp:lastModifiedBy>Mariam Adegbindin</cp:lastModifiedBy>
  <cp:lastPrinted>2016-10-04T14:32:11Z</cp:lastPrinted>
  <dcterms:created xsi:type="dcterms:W3CDTF">2015-07-08T16:57:27Z</dcterms:created>
  <dcterms:modified xsi:type="dcterms:W3CDTF">2025-04-24T19:04:33Z</dcterms:modified>
</cp:coreProperties>
</file>